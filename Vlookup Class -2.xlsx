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9030" firstSheet="3" activeTab="7"/>
  </bookViews>
  <sheets>
    <sheet name="Vlookup IF Error" sheetId="1" r:id="rId1"/>
    <sheet name="Nested V Lookup" sheetId="2" r:id="rId2"/>
    <sheet name="Multiple Table Vlookup" sheetId="3" r:id="rId3"/>
    <sheet name="Vlookup on Multiple Sheet" sheetId="4" r:id="rId4"/>
    <sheet name="S-1" sheetId="5" r:id="rId5"/>
    <sheet name="S-2" sheetId="6" r:id="rId6"/>
    <sheet name="Vlookup- Choose" sheetId="8" r:id="rId7"/>
    <sheet name="Vlookup -Index Match" sheetId="9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9" l="1"/>
  <c r="N10" i="9"/>
  <c r="O10" i="9"/>
  <c r="M11" i="9"/>
  <c r="N11" i="9"/>
  <c r="O11" i="9"/>
  <c r="L11" i="9"/>
  <c r="L10" i="9"/>
  <c r="M2" i="9"/>
  <c r="N2" i="9"/>
  <c r="O2" i="9"/>
  <c r="M3" i="9"/>
  <c r="N3" i="9"/>
  <c r="O3" i="9"/>
  <c r="M4" i="9"/>
  <c r="N4" i="9"/>
  <c r="O4" i="9"/>
  <c r="M5" i="9"/>
  <c r="N5" i="9"/>
  <c r="O5" i="9"/>
  <c r="L3" i="9"/>
  <c r="L4" i="9"/>
  <c r="L5" i="9"/>
  <c r="L2" i="9"/>
  <c r="K3" i="8"/>
  <c r="L3" i="8"/>
  <c r="M3" i="8"/>
  <c r="N3" i="8"/>
  <c r="K4" i="8"/>
  <c r="L4" i="8"/>
  <c r="M4" i="8"/>
  <c r="N4" i="8"/>
  <c r="N2" i="8"/>
  <c r="M2" i="8"/>
  <c r="L2" i="8"/>
  <c r="K2" i="8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2" i="4"/>
  <c r="O10" i="2" l="1"/>
  <c r="B22" i="4" l="1"/>
  <c r="A22" i="4"/>
  <c r="J21" i="4"/>
  <c r="B29" i="4"/>
  <c r="A29" i="4"/>
  <c r="A23" i="4"/>
  <c r="B23" i="4"/>
  <c r="A28" i="4"/>
  <c r="B28" i="4"/>
  <c r="B32" i="4"/>
  <c r="A32" i="4"/>
  <c r="B25" i="4"/>
  <c r="A25" i="4"/>
  <c r="A24" i="4"/>
  <c r="B24" i="4"/>
  <c r="A26" i="4"/>
  <c r="B26" i="4"/>
  <c r="A31" i="4"/>
  <c r="B31" i="4"/>
  <c r="B33" i="4"/>
  <c r="A33" i="4"/>
  <c r="A30" i="4"/>
  <c r="B30" i="4"/>
  <c r="A34" i="4"/>
  <c r="B34" i="4"/>
  <c r="A27" i="4"/>
  <c r="B27" i="4"/>
  <c r="B35" i="4"/>
  <c r="A35" i="4"/>
</calcChain>
</file>

<file path=xl/sharedStrings.xml><?xml version="1.0" encoding="utf-8"?>
<sst xmlns="http://schemas.openxmlformats.org/spreadsheetml/2006/main" count="337" uniqueCount="89">
  <si>
    <t>Customer ID</t>
  </si>
  <si>
    <t>Customer Name</t>
  </si>
  <si>
    <t>Sales</t>
  </si>
  <si>
    <t>Quantity</t>
  </si>
  <si>
    <t>Discount</t>
  </si>
  <si>
    <t>Profit</t>
  </si>
  <si>
    <t>CG-12520</t>
  </si>
  <si>
    <t>Claire Gute</t>
  </si>
  <si>
    <t>DV-13045</t>
  </si>
  <si>
    <t>Darrin Van Huff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</si>
  <si>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</si>
  <si>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</si>
  <si>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</si>
  <si>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</si>
  <si>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</si>
  <si>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</si>
  <si>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</si>
  <si>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</si>
  <si>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CG-12521</t>
  </si>
  <si>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</si>
  <si>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</si>
  <si>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</si>
  <si>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</si>
  <si>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</si>
  <si>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</si>
  <si>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</si>
  <si>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</si>
  <si>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</si>
  <si>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</si>
  <si>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</si>
  <si>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</si>
  <si>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</si>
  <si>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</si>
  <si>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</si>
  <si>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</si>
  <si>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</si>
  <si>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</si>
  <si>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</si>
  <si>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</si>
  <si>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</si>
  <si>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</si>
  <si>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</si>
  <si>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</si>
  <si>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</si>
  <si>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</si>
  <si>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</si>
  <si>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</si>
  <si>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</si>
  <si>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</si>
  <si>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</si>
  <si>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</si>
  <si>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</si>
  <si>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</si>
  <si>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</si>
  <si>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</si>
  <si>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</si>
  <si>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</si>
  <si>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</si>
  <si>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</si>
  <si>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</si>
  <si>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</si>
  <si>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</si>
  <si>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</si>
  <si>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</si>
  <si>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</si>
  <si>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</si>
  <si>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</si>
  <si>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</si>
  <si>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Furniture</t>
  </si>
  <si>
    <t>Office Supplies</t>
  </si>
  <si>
    <t>Technology</t>
  </si>
  <si>
    <t>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</si>
  <si>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</si>
  <si>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</si>
  <si>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</si>
  <si>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</si>
  <si>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</si>
  <si>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</si>
  <si>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</si>
  <si>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</si>
  <si>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</si>
  <si>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</si>
  <si>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</si>
  <si>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Sub Category</t>
  </si>
  <si>
    <t xml:space="preserve">Bill No. </t>
  </si>
  <si>
    <t>Product</t>
  </si>
  <si>
    <t>Table</t>
  </si>
  <si>
    <t>Chair</t>
  </si>
  <si>
    <t>Pillow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</si>
</sst>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O2" sqref="O2:S3"/>
    </sheetView>
  </sheetViews>
  <sheetFormatPr defaultRowHeight="14.25"/>
  <cols>
    <col min="1" max="1" width="12.125" bestFit="1" customWidth="1"/>
    <col min="2" max="2" width="15.5" bestFit="1" customWidth="1"/>
    <col min="3" max="3" width="8.875" bestFit="1" customWidth="1"/>
    <col min="5" max="5" width="9" bestFit="1" customWidth="1"/>
    <col min="6" max="6" width="8.5" bestFit="1" customWidth="1"/>
    <col min="14" max="14" width="12.125" bestFit="1" customWidth="1"/>
    <col min="15" max="15" width="15.5" bestFit="1" customWidth="1"/>
    <col min="16" max="16" width="8.75" bestFit="1" customWidth="1"/>
    <col min="18" max="18" width="9" bestFit="1" customWidth="1"/>
    <col min="19" max="19" width="8.75" bestFit="1" customWidth="1"/>
  </cols>
  <sheetData>
    <row r="1" spans="1:1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</row>
    <row r="2" spans="1:19">
      <c r="A2" t="s">
        <v>6</v>
      </c>
      <c r="B2" t="s">
        <v>7</v>
      </c>
      <c r="C2">
        <v>261.95999999999998</v>
      </c>
      <c r="D2">
        <v>2</v>
      </c>
      <c r="E2">
        <v>0</v>
      </c>
      <c r="F2">
        <v>41.913600000000002</v>
      </c>
      <c r="N2" t="s">
        <v>6</v>
      </c>
    </row>
    <row r="3" spans="1:19">
      <c r="A3" t="s">
        <v>8</v>
      </c>
      <c r="B3" t="s">
        <v>9</v>
      </c>
      <c r="C3">
        <v>731.93999999999994</v>
      </c>
      <c r="D3">
        <v>3</v>
      </c>
      <c r="E3">
        <v>0</v>
      </c>
      <c r="F3">
        <v>219.58199999999997</v>
      </c>
      <c r="N3" t="s">
        <v>18</v>
      </c>
    </row>
    <row r="4" spans="1:19">
      <c r="A4" t="s">
        <v>10</v>
      </c>
      <c r="B4" t="s">
        <v>11</v>
      </c>
      <c r="C4">
        <v>14.62</v>
      </c>
      <c r="D4">
        <v>2</v>
      </c>
      <c r="E4">
        <v>0</v>
      </c>
      <c r="F4">
        <v>6.8713999999999995</v>
      </c>
    </row>
    <row r="5" spans="1:19">
      <c r="A5" t="s">
        <v>12</v>
      </c>
      <c r="B5" t="s">
        <v>13</v>
      </c>
      <c r="C5">
        <v>957.57749999999999</v>
      </c>
      <c r="D5">
        <v>5</v>
      </c>
      <c r="E5">
        <v>0.45</v>
      </c>
      <c r="F5">
        <v>-383.03100000000006</v>
      </c>
    </row>
    <row r="6" spans="1:19">
      <c r="A6" t="s">
        <v>14</v>
      </c>
      <c r="B6" t="s">
        <v>15</v>
      </c>
      <c r="C6">
        <v>22.368000000000002</v>
      </c>
      <c r="D6">
        <v>2</v>
      </c>
      <c r="E6">
        <v>0.2</v>
      </c>
      <c r="F6">
        <v>2.5163999999999991</v>
      </c>
    </row>
    <row r="7" spans="1:19">
      <c r="A7" t="s">
        <v>16</v>
      </c>
      <c r="B7" t="s">
        <v>17</v>
      </c>
      <c r="C7">
        <v>48.86</v>
      </c>
      <c r="D7">
        <v>7</v>
      </c>
      <c r="E7">
        <v>0</v>
      </c>
      <c r="F7">
        <v>14.169399999999996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zoomScale="78" zoomScaleNormal="78" workbookViewId="0">
      <selection activeCell="I19" sqref="I19:L19"/>
    </sheetView>
  </sheetViews>
  <sheetFormatPr defaultRowHeight="14.25"/>
  <cols>
    <col min="1" max="1" width="17.5" customWidth="1"/>
    <col min="2" max="2" width="13.5" customWidth="1"/>
    <col min="8" max="8" width="15.125" customWidth="1"/>
    <col min="9" max="9" width="14.125" customWidth="1"/>
    <col min="10" max="10" width="15.875" customWidth="1"/>
  </cols>
  <sheetData>
    <row r="1" spans="1:15" ht="15">
      <c r="A1" s="2" t="s">
        <v>19</v>
      </c>
      <c r="B1" s="2" t="s">
        <v>0</v>
      </c>
      <c r="H1" s="2" t="s">
        <v>0</v>
      </c>
      <c r="I1" s="6" t="s">
        <v>71</v>
      </c>
      <c r="J1" s="6" t="s">
        <v>83</v>
      </c>
      <c r="K1" s="6" t="s">
        <v>2</v>
      </c>
      <c r="L1" s="6" t="s">
        <v>5</v>
      </c>
    </row>
    <row r="2" spans="1:15">
      <c r="A2" s="3" t="s">
        <v>20</v>
      </c>
      <c r="B2" s="3" t="s">
        <v>6</v>
      </c>
      <c r="H2" s="3" t="s">
        <v>6</v>
      </c>
      <c r="I2" s="3" t="s">
        <v>68</v>
      </c>
      <c r="J2" s="3" t="s">
        <v>72</v>
      </c>
      <c r="K2" s="3">
        <v>261.95999999999998</v>
      </c>
      <c r="L2" s="3">
        <v>41.913600000000002</v>
      </c>
    </row>
    <row r="3" spans="1:15">
      <c r="A3" s="3" t="s">
        <v>21</v>
      </c>
      <c r="B3" s="3" t="s">
        <v>8</v>
      </c>
      <c r="H3" s="3" t="s">
        <v>8</v>
      </c>
      <c r="I3" s="3" t="s">
        <v>68</v>
      </c>
      <c r="J3" s="3" t="s">
        <v>73</v>
      </c>
      <c r="K3" s="3">
        <v>731.93999999999994</v>
      </c>
      <c r="L3" s="3">
        <v>219.58199999999997</v>
      </c>
    </row>
    <row r="4" spans="1:15">
      <c r="A4" s="3" t="s">
        <v>22</v>
      </c>
      <c r="B4" s="3" t="s">
        <v>10</v>
      </c>
      <c r="H4" s="3" t="s">
        <v>10</v>
      </c>
      <c r="I4" s="3" t="s">
        <v>69</v>
      </c>
      <c r="J4" s="3" t="s">
        <v>74</v>
      </c>
      <c r="K4" s="3">
        <v>14.62</v>
      </c>
      <c r="L4" s="3">
        <v>6.8713999999999995</v>
      </c>
    </row>
    <row r="5" spans="1:15">
      <c r="A5" s="3" t="s">
        <v>23</v>
      </c>
      <c r="B5" s="3" t="s">
        <v>12</v>
      </c>
      <c r="H5" s="3" t="s">
        <v>12</v>
      </c>
      <c r="I5" s="3" t="s">
        <v>68</v>
      </c>
      <c r="J5" s="3" t="s">
        <v>75</v>
      </c>
      <c r="K5" s="3">
        <v>957.57749999999999</v>
      </c>
      <c r="L5" s="3">
        <v>-383.03100000000006</v>
      </c>
    </row>
    <row r="6" spans="1:15">
      <c r="A6" s="3" t="s">
        <v>24</v>
      </c>
      <c r="B6" s="3" t="s">
        <v>14</v>
      </c>
      <c r="H6" s="3" t="s">
        <v>14</v>
      </c>
      <c r="I6" s="3" t="s">
        <v>69</v>
      </c>
      <c r="J6" s="3" t="s">
        <v>76</v>
      </c>
      <c r="K6" s="3">
        <v>22.368000000000002</v>
      </c>
      <c r="L6" s="3">
        <v>2.5163999999999991</v>
      </c>
    </row>
    <row r="7" spans="1:15">
      <c r="A7" s="3" t="s">
        <v>25</v>
      </c>
      <c r="B7" s="3" t="s">
        <v>16</v>
      </c>
      <c r="H7" s="3" t="s">
        <v>16</v>
      </c>
      <c r="I7" s="3" t="s">
        <v>68</v>
      </c>
      <c r="J7" s="3" t="s">
        <v>77</v>
      </c>
      <c r="K7" s="3">
        <v>48.86</v>
      </c>
      <c r="L7" s="3">
        <v>14.169399999999996</v>
      </c>
    </row>
    <row r="8" spans="1:15">
      <c r="A8" s="3" t="s">
        <v>26</v>
      </c>
      <c r="B8" s="3" t="s">
        <v>47</v>
      </c>
      <c r="H8" s="3" t="s">
        <v>47</v>
      </c>
      <c r="I8" s="3" t="s">
        <v>69</v>
      </c>
      <c r="J8" s="3" t="s">
        <v>78</v>
      </c>
      <c r="K8" s="3">
        <v>7.28</v>
      </c>
      <c r="L8" s="3">
        <v>1.9656000000000002</v>
      </c>
    </row>
    <row r="9" spans="1:15">
      <c r="A9" s="3" t="s">
        <v>27</v>
      </c>
      <c r="B9" s="3" t="s">
        <v>48</v>
      </c>
      <c r="H9" s="3" t="s">
        <v>48</v>
      </c>
      <c r="I9" s="3" t="s">
        <v>70</v>
      </c>
      <c r="J9" s="3" t="s">
        <v>79</v>
      </c>
      <c r="K9" s="3">
        <v>907.15200000000004</v>
      </c>
      <c r="L9" s="3">
        <v>90.715200000000038</v>
      </c>
    </row>
    <row r="10" spans="1:15">
      <c r="A10" s="3" t="s">
        <v>28</v>
      </c>
      <c r="B10" s="3" t="s">
        <v>49</v>
      </c>
      <c r="H10" s="3" t="s">
        <v>49</v>
      </c>
      <c r="I10" s="3" t="s">
        <v>69</v>
      </c>
      <c r="J10" s="3" t="s">
        <v>80</v>
      </c>
      <c r="K10" s="3">
        <v>18.504000000000001</v>
      </c>
      <c r="L10" s="3">
        <v>5.7824999999999998</v>
      </c>
      <c r="O10">
        <f>MATCH(H10,H1:H14,0)</f>
        <v>10</v>
      </c>
    </row>
    <row r="11" spans="1:15">
      <c r="A11" s="3" t="s">
        <v>29</v>
      </c>
      <c r="B11" s="3" t="s">
        <v>50</v>
      </c>
      <c r="H11" s="3" t="s">
        <v>50</v>
      </c>
      <c r="I11" s="3" t="s">
        <v>69</v>
      </c>
      <c r="J11" s="3" t="s">
        <v>81</v>
      </c>
      <c r="K11" s="3">
        <v>114.9</v>
      </c>
      <c r="L11" s="3">
        <v>34.469999999999992</v>
      </c>
    </row>
    <row r="12" spans="1:15">
      <c r="A12" s="3" t="s">
        <v>30</v>
      </c>
      <c r="B12" s="3" t="s">
        <v>51</v>
      </c>
      <c r="H12" s="3" t="s">
        <v>51</v>
      </c>
      <c r="I12" s="3" t="s">
        <v>68</v>
      </c>
      <c r="J12" s="3" t="s">
        <v>75</v>
      </c>
      <c r="K12" s="3">
        <v>1706.1840000000002</v>
      </c>
      <c r="L12" s="3">
        <v>85.309199999999805</v>
      </c>
    </row>
    <row r="13" spans="1:15">
      <c r="A13" s="3" t="s">
        <v>31</v>
      </c>
      <c r="B13" s="3" t="s">
        <v>52</v>
      </c>
      <c r="H13" s="3" t="s">
        <v>52</v>
      </c>
      <c r="I13" s="3" t="s">
        <v>70</v>
      </c>
      <c r="J13" s="3" t="s">
        <v>79</v>
      </c>
      <c r="K13" s="3">
        <v>911.42399999999998</v>
      </c>
      <c r="L13" s="3">
        <v>68.356800000000021</v>
      </c>
    </row>
    <row r="14" spans="1:15">
      <c r="A14" s="3" t="s">
        <v>32</v>
      </c>
      <c r="B14" s="3" t="s">
        <v>53</v>
      </c>
      <c r="H14" s="3" t="s">
        <v>53</v>
      </c>
      <c r="I14" s="3" t="s">
        <v>69</v>
      </c>
      <c r="J14" s="3" t="s">
        <v>82</v>
      </c>
      <c r="K14" s="3">
        <v>15.552000000000003</v>
      </c>
      <c r="L14" s="3">
        <v>5.4432</v>
      </c>
    </row>
    <row r="15" spans="1:15">
      <c r="A15" s="3" t="s">
        <v>33</v>
      </c>
      <c r="B15" s="3" t="s">
        <v>54</v>
      </c>
      <c r="H15" s="4" t="s">
        <v>54</v>
      </c>
      <c r="I15" s="4" t="s">
        <v>69</v>
      </c>
      <c r="J15" s="4" t="s">
        <v>80</v>
      </c>
      <c r="K15" s="4">
        <v>407.97600000000006</v>
      </c>
      <c r="L15" s="4">
        <v>132.59219999999993</v>
      </c>
    </row>
    <row r="16" spans="1:15">
      <c r="A16" s="3" t="s">
        <v>34</v>
      </c>
      <c r="B16" s="3" t="s">
        <v>55</v>
      </c>
    </row>
    <row r="17" spans="1:12">
      <c r="A17" s="3" t="s">
        <v>35</v>
      </c>
      <c r="B17" s="3" t="s">
        <v>56</v>
      </c>
    </row>
    <row r="18" spans="1:12" ht="15">
      <c r="A18" s="3" t="s">
        <v>36</v>
      </c>
      <c r="B18" s="3" t="s">
        <v>57</v>
      </c>
      <c r="H18" s="2" t="s">
        <v>19</v>
      </c>
      <c r="I18" s="6" t="s">
        <v>71</v>
      </c>
      <c r="J18" s="6" t="s">
        <v>83</v>
      </c>
      <c r="K18" s="6" t="s">
        <v>2</v>
      </c>
      <c r="L18" s="6" t="s">
        <v>5</v>
      </c>
    </row>
    <row r="19" spans="1:12">
      <c r="A19" s="3" t="s">
        <v>37</v>
      </c>
      <c r="B19" s="3" t="s">
        <v>58</v>
      </c>
      <c r="H19" s="3" t="s">
        <v>20</v>
      </c>
    </row>
    <row r="20" spans="1:12">
      <c r="A20" s="3" t="s">
        <v>38</v>
      </c>
      <c r="B20" s="3" t="s">
        <v>59</v>
      </c>
    </row>
    <row r="21" spans="1:12">
      <c r="A21" s="3" t="s">
        <v>39</v>
      </c>
      <c r="B21" s="3" t="s">
        <v>60</v>
      </c>
    </row>
    <row r="22" spans="1:12">
      <c r="A22" s="3" t="s">
        <v>40</v>
      </c>
      <c r="B22" s="3" t="s">
        <v>61</v>
      </c>
    </row>
    <row r="23" spans="1:12">
      <c r="A23" s="3" t="s">
        <v>41</v>
      </c>
      <c r="B23" s="3" t="s">
        <v>62</v>
      </c>
    </row>
    <row r="24" spans="1:12">
      <c r="A24" s="3" t="s">
        <v>42</v>
      </c>
      <c r="B24" s="3" t="s">
        <v>63</v>
      </c>
    </row>
    <row r="25" spans="1:12">
      <c r="A25" s="3" t="s">
        <v>43</v>
      </c>
      <c r="B25" s="3" t="s">
        <v>64</v>
      </c>
    </row>
    <row r="26" spans="1:12">
      <c r="A26" s="3" t="s">
        <v>44</v>
      </c>
      <c r="B26" s="3" t="s">
        <v>65</v>
      </c>
    </row>
    <row r="27" spans="1:12">
      <c r="A27" s="3" t="s">
        <v>45</v>
      </c>
      <c r="B27" s="3" t="s">
        <v>66</v>
      </c>
    </row>
    <row r="28" spans="1:12">
      <c r="A28" s="3" t="s">
        <v>46</v>
      </c>
      <c r="B28" s="3" t="s">
        <v>67</v>
      </c>
      <c r="H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J15" sqref="J15"/>
    </sheetView>
  </sheetViews>
  <sheetFormatPr defaultRowHeight="14.25"/>
  <cols>
    <col min="13" max="13" width="12.75" customWidth="1"/>
  </cols>
  <sheetData>
    <row r="1" spans="1:14">
      <c r="A1" s="6" t="s">
        <v>84</v>
      </c>
      <c r="B1" s="6" t="s">
        <v>85</v>
      </c>
      <c r="C1" s="6" t="s">
        <v>3</v>
      </c>
      <c r="F1" s="6" t="s">
        <v>84</v>
      </c>
      <c r="G1" s="6" t="s">
        <v>85</v>
      </c>
      <c r="H1" s="6" t="s">
        <v>3</v>
      </c>
      <c r="L1" s="6" t="s">
        <v>84</v>
      </c>
      <c r="M1" s="6" t="s">
        <v>85</v>
      </c>
      <c r="N1" s="6" t="s">
        <v>3</v>
      </c>
    </row>
    <row r="2" spans="1:14">
      <c r="A2" s="3">
        <v>101</v>
      </c>
      <c r="B2" s="3" t="s">
        <v>86</v>
      </c>
      <c r="C2" s="3">
        <v>35</v>
      </c>
      <c r="F2" s="3">
        <v>111</v>
      </c>
      <c r="G2" s="3" t="s">
        <v>86</v>
      </c>
      <c r="H2" s="3">
        <v>32</v>
      </c>
      <c r="L2" s="3">
        <v>121</v>
      </c>
      <c r="M2" s="3" t="s">
        <v>86</v>
      </c>
      <c r="N2" s="3">
        <v>95</v>
      </c>
    </row>
    <row r="3" spans="1:14">
      <c r="A3" s="3">
        <v>102</v>
      </c>
      <c r="B3" s="3" t="s">
        <v>87</v>
      </c>
      <c r="C3" s="3">
        <v>37</v>
      </c>
      <c r="F3" s="3">
        <v>112</v>
      </c>
      <c r="G3" s="3" t="s">
        <v>87</v>
      </c>
      <c r="H3" s="3">
        <v>10</v>
      </c>
      <c r="L3" s="3">
        <v>122</v>
      </c>
      <c r="M3" s="3" t="s">
        <v>87</v>
      </c>
      <c r="N3" s="3">
        <v>100</v>
      </c>
    </row>
    <row r="4" spans="1:14">
      <c r="A4" s="3">
        <v>103</v>
      </c>
      <c r="B4" s="3" t="s">
        <v>88</v>
      </c>
      <c r="C4" s="3">
        <v>35</v>
      </c>
      <c r="F4" s="3">
        <v>113</v>
      </c>
      <c r="G4" s="3" t="s">
        <v>88</v>
      </c>
      <c r="H4" s="3">
        <v>27</v>
      </c>
      <c r="L4" s="3">
        <v>123</v>
      </c>
      <c r="M4" s="3" t="s">
        <v>88</v>
      </c>
      <c r="N4" s="3">
        <v>93</v>
      </c>
    </row>
    <row r="5" spans="1:14">
      <c r="A5" s="3">
        <v>104</v>
      </c>
      <c r="B5" s="3" t="s">
        <v>86</v>
      </c>
      <c r="C5" s="3">
        <v>36</v>
      </c>
      <c r="F5" s="3">
        <v>114</v>
      </c>
      <c r="G5" s="3" t="s">
        <v>86</v>
      </c>
      <c r="H5" s="3">
        <v>26</v>
      </c>
      <c r="L5" s="3">
        <v>124</v>
      </c>
      <c r="M5" s="3" t="s">
        <v>86</v>
      </c>
      <c r="N5" s="3">
        <v>96</v>
      </c>
    </row>
    <row r="6" spans="1:14">
      <c r="A6" s="3">
        <v>105</v>
      </c>
      <c r="B6" s="3" t="s">
        <v>87</v>
      </c>
      <c r="C6" s="3">
        <v>36</v>
      </c>
      <c r="F6" s="3">
        <v>115</v>
      </c>
      <c r="G6" s="3" t="s">
        <v>87</v>
      </c>
      <c r="H6" s="3">
        <v>29</v>
      </c>
      <c r="L6" s="3">
        <v>125</v>
      </c>
      <c r="M6" s="3" t="s">
        <v>87</v>
      </c>
      <c r="N6" s="3">
        <v>98</v>
      </c>
    </row>
    <row r="7" spans="1:14">
      <c r="A7" s="3">
        <v>106</v>
      </c>
      <c r="B7" s="3" t="s">
        <v>88</v>
      </c>
      <c r="C7" s="3">
        <v>38</v>
      </c>
      <c r="F7" s="3">
        <v>116</v>
      </c>
      <c r="G7" s="3" t="s">
        <v>88</v>
      </c>
      <c r="H7" s="3">
        <v>33</v>
      </c>
      <c r="L7" s="3">
        <v>126</v>
      </c>
      <c r="M7" s="3" t="s">
        <v>88</v>
      </c>
      <c r="N7" s="3">
        <v>97</v>
      </c>
    </row>
    <row r="8" spans="1:14">
      <c r="A8" s="3">
        <v>107</v>
      </c>
      <c r="B8" s="3" t="s">
        <v>86</v>
      </c>
      <c r="C8" s="3">
        <v>34</v>
      </c>
      <c r="F8" s="3">
        <v>117</v>
      </c>
      <c r="G8" s="3" t="s">
        <v>86</v>
      </c>
      <c r="H8" s="3">
        <v>20</v>
      </c>
      <c r="L8" s="3">
        <v>127</v>
      </c>
      <c r="M8" s="3" t="s">
        <v>86</v>
      </c>
      <c r="N8" s="3">
        <v>91</v>
      </c>
    </row>
    <row r="9" spans="1:14">
      <c r="A9" s="3">
        <v>108</v>
      </c>
      <c r="B9" s="3" t="s">
        <v>87</v>
      </c>
      <c r="C9" s="3">
        <v>27</v>
      </c>
      <c r="F9" s="3">
        <v>118</v>
      </c>
      <c r="G9" s="3" t="s">
        <v>87</v>
      </c>
      <c r="H9" s="3">
        <v>38</v>
      </c>
      <c r="L9" s="3">
        <v>128</v>
      </c>
      <c r="M9" s="3" t="s">
        <v>87</v>
      </c>
      <c r="N9" s="3">
        <v>92</v>
      </c>
    </row>
    <row r="10" spans="1:14">
      <c r="A10" s="3">
        <v>109</v>
      </c>
      <c r="B10" s="3" t="s">
        <v>88</v>
      </c>
      <c r="C10" s="3">
        <v>33</v>
      </c>
      <c r="F10" s="3">
        <v>119</v>
      </c>
      <c r="G10" s="3" t="s">
        <v>88</v>
      </c>
      <c r="H10" s="3">
        <v>40</v>
      </c>
      <c r="L10" s="3">
        <v>129</v>
      </c>
      <c r="M10" s="3" t="s">
        <v>88</v>
      </c>
      <c r="N10" s="3">
        <v>90</v>
      </c>
    </row>
    <row r="11" spans="1:14">
      <c r="A11" s="3">
        <v>110</v>
      </c>
      <c r="B11" s="3" t="s">
        <v>86</v>
      </c>
      <c r="C11" s="3">
        <v>29</v>
      </c>
      <c r="F11" s="3">
        <v>120</v>
      </c>
      <c r="G11" s="3" t="s">
        <v>86</v>
      </c>
      <c r="H11" s="3">
        <v>27</v>
      </c>
      <c r="L11" s="3">
        <v>130</v>
      </c>
      <c r="M11" s="3" t="s">
        <v>86</v>
      </c>
      <c r="N11" s="3">
        <v>99</v>
      </c>
    </row>
    <row r="14" spans="1:14">
      <c r="I14" s="6" t="s">
        <v>84</v>
      </c>
      <c r="J14" s="3">
        <v>110</v>
      </c>
    </row>
    <row r="15" spans="1:14">
      <c r="I15" s="6" t="s">
        <v>85</v>
      </c>
    </row>
    <row r="16" spans="1:14">
      <c r="I16" s="6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6" workbookViewId="0">
      <selection activeCell="J21" sqref="J21"/>
    </sheetView>
  </sheetViews>
  <sheetFormatPr defaultRowHeight="14.25"/>
  <cols>
    <col min="1" max="1" width="11.75" bestFit="1" customWidth="1"/>
    <col min="2" max="3" width="8.875" bestFit="1" customWidth="1"/>
  </cols>
  <sheetData>
    <row r="1" spans="1:11" ht="15">
      <c r="A1" s="2" t="s">
        <v>0</v>
      </c>
      <c r="B1" s="6" t="s">
        <v>2</v>
      </c>
      <c r="C1" s="6" t="s">
        <v>5</v>
      </c>
      <c r="I1" s="6" t="s">
        <v>2</v>
      </c>
      <c r="J1" s="6" t="s">
        <v>5</v>
      </c>
      <c r="K1" s="2" t="s">
        <v>0</v>
      </c>
    </row>
    <row r="2" spans="1:11">
      <c r="A2" s="3" t="s">
        <v>6</v>
      </c>
      <c r="B2" s="3">
        <f>VLOOKUP($A2,'S-1'!$A$1:$B$15,2,0)</f>
        <v>261.95999999999998</v>
      </c>
      <c r="C2" s="3">
        <f>VLOOKUP($A2,'S-2'!$A$1:$B$15,2,0)</f>
        <v>41.913600000000002</v>
      </c>
      <c r="I2" s="3">
        <f>VLOOKUP($K2,$A$1:$C$15,2,0)</f>
        <v>261.95999999999998</v>
      </c>
      <c r="J2" s="3"/>
      <c r="K2" s="3" t="s">
        <v>6</v>
      </c>
    </row>
    <row r="3" spans="1:11">
      <c r="A3" s="3" t="s">
        <v>8</v>
      </c>
      <c r="B3" s="3">
        <f>VLOOKUP($A3,'S-1'!$A$1:$B$15,2,0)</f>
        <v>731.93999999999994</v>
      </c>
      <c r="C3" s="3">
        <f>VLOOKUP($A3,'S-2'!$A$1:$B$15,2,0)</f>
        <v>219.58199999999997</v>
      </c>
      <c r="I3" s="3">
        <f t="shared" ref="I3:I15" si="0">VLOOKUP($K3,$A$1:$C$15,2,0)</f>
        <v>731.93999999999994</v>
      </c>
      <c r="J3" s="3"/>
      <c r="K3" s="3" t="s">
        <v>8</v>
      </c>
    </row>
    <row r="4" spans="1:11">
      <c r="A4" s="3" t="s">
        <v>10</v>
      </c>
      <c r="B4" s="3">
        <f>VLOOKUP($A4,'S-1'!$A$1:$B$15,2,0)</f>
        <v>14.62</v>
      </c>
      <c r="C4" s="3">
        <f>VLOOKUP($A4,'S-2'!$A$1:$B$15,2,0)</f>
        <v>6.8713999999999995</v>
      </c>
      <c r="I4" s="3">
        <f t="shared" si="0"/>
        <v>14.62</v>
      </c>
      <c r="J4" s="3"/>
      <c r="K4" s="3" t="s">
        <v>10</v>
      </c>
    </row>
    <row r="5" spans="1:11">
      <c r="A5" s="3" t="s">
        <v>12</v>
      </c>
      <c r="B5" s="3">
        <f>VLOOKUP($A5,'S-1'!$A$1:$B$15,2,0)</f>
        <v>957.57749999999999</v>
      </c>
      <c r="C5" s="3">
        <f>VLOOKUP($A5,'S-2'!$A$1:$B$15,2,0)</f>
        <v>-383.03100000000006</v>
      </c>
      <c r="I5" s="3">
        <f t="shared" si="0"/>
        <v>957.57749999999999</v>
      </c>
      <c r="J5" s="3"/>
      <c r="K5" s="3" t="s">
        <v>12</v>
      </c>
    </row>
    <row r="6" spans="1:11">
      <c r="A6" s="3" t="s">
        <v>14</v>
      </c>
      <c r="B6" s="3">
        <f>VLOOKUP($A6,'S-1'!$A$1:$B$15,2,0)</f>
        <v>22.368000000000002</v>
      </c>
      <c r="C6" s="3">
        <f>VLOOKUP($A6,'S-2'!$A$1:$B$15,2,0)</f>
        <v>2.5163999999999991</v>
      </c>
      <c r="I6" s="3">
        <f t="shared" si="0"/>
        <v>22.368000000000002</v>
      </c>
      <c r="J6" s="3"/>
      <c r="K6" s="3" t="s">
        <v>14</v>
      </c>
    </row>
    <row r="7" spans="1:11">
      <c r="A7" s="3" t="s">
        <v>16</v>
      </c>
      <c r="B7" s="3">
        <f>VLOOKUP($A7,'S-1'!$A$1:$B$15,2,0)</f>
        <v>48.86</v>
      </c>
      <c r="C7" s="3">
        <f>VLOOKUP($A7,'S-2'!$A$1:$B$15,2,0)</f>
        <v>14.169399999999996</v>
      </c>
      <c r="I7" s="3">
        <f t="shared" si="0"/>
        <v>48.86</v>
      </c>
      <c r="J7" s="3"/>
      <c r="K7" s="3" t="s">
        <v>16</v>
      </c>
    </row>
    <row r="8" spans="1:11">
      <c r="A8" s="3" t="s">
        <v>47</v>
      </c>
      <c r="B8" s="3">
        <f>VLOOKUP($A8,'S-1'!$A$1:$B$15,2,0)</f>
        <v>7.28</v>
      </c>
      <c r="C8" s="3">
        <f>VLOOKUP($A8,'S-2'!$A$1:$B$15,2,0)</f>
        <v>1.9656000000000002</v>
      </c>
      <c r="I8" s="3">
        <f t="shared" si="0"/>
        <v>7.28</v>
      </c>
      <c r="J8" s="3"/>
      <c r="K8" s="3" t="s">
        <v>47</v>
      </c>
    </row>
    <row r="9" spans="1:11">
      <c r="A9" s="3" t="s">
        <v>48</v>
      </c>
      <c r="B9" s="3">
        <f>VLOOKUP($A9,'S-1'!$A$1:$B$15,2,0)</f>
        <v>907.15200000000004</v>
      </c>
      <c r="C9" s="3">
        <f>VLOOKUP($A9,'S-2'!$A$1:$B$15,2,0)</f>
        <v>90.715200000000038</v>
      </c>
      <c r="I9" s="3">
        <f t="shared" si="0"/>
        <v>907.15200000000004</v>
      </c>
      <c r="J9" s="3"/>
      <c r="K9" s="3" t="s">
        <v>48</v>
      </c>
    </row>
    <row r="10" spans="1:11">
      <c r="A10" s="3" t="s">
        <v>49</v>
      </c>
      <c r="B10" s="3">
        <f>VLOOKUP($A10,'S-1'!$A$1:$B$15,2,0)</f>
        <v>18.504000000000001</v>
      </c>
      <c r="C10" s="3">
        <f>VLOOKUP($A10,'S-2'!$A$1:$B$15,2,0)</f>
        <v>5.7824999999999998</v>
      </c>
      <c r="I10" s="3">
        <f t="shared" si="0"/>
        <v>18.504000000000001</v>
      </c>
      <c r="J10" s="3"/>
      <c r="K10" s="3" t="s">
        <v>49</v>
      </c>
    </row>
    <row r="11" spans="1:11">
      <c r="A11" s="3" t="s">
        <v>50</v>
      </c>
      <c r="B11" s="3">
        <f>VLOOKUP($A11,'S-1'!$A$1:$B$15,2,0)</f>
        <v>114.9</v>
      </c>
      <c r="C11" s="3">
        <f>VLOOKUP($A11,'S-2'!$A$1:$B$15,2,0)</f>
        <v>34.469999999999992</v>
      </c>
      <c r="I11" s="3">
        <f t="shared" si="0"/>
        <v>114.9</v>
      </c>
      <c r="J11" s="3"/>
      <c r="K11" s="3" t="s">
        <v>50</v>
      </c>
    </row>
    <row r="12" spans="1:11">
      <c r="A12" s="3" t="s">
        <v>51</v>
      </c>
      <c r="B12" s="3">
        <f>VLOOKUP($A12,'S-1'!$A$1:$B$15,2,0)</f>
        <v>1706.1840000000002</v>
      </c>
      <c r="C12" s="3">
        <f>VLOOKUP($A12,'S-2'!$A$1:$B$15,2,0)</f>
        <v>85.309199999999805</v>
      </c>
      <c r="I12" s="3">
        <f t="shared" si="0"/>
        <v>1706.1840000000002</v>
      </c>
      <c r="J12" s="3"/>
      <c r="K12" s="3" t="s">
        <v>51</v>
      </c>
    </row>
    <row r="13" spans="1:11">
      <c r="A13" s="3" t="s">
        <v>52</v>
      </c>
      <c r="B13" s="3">
        <f>VLOOKUP($A13,'S-1'!$A$1:$B$15,2,0)</f>
        <v>911.42399999999998</v>
      </c>
      <c r="C13" s="3">
        <f>VLOOKUP($A13,'S-2'!$A$1:$B$15,2,0)</f>
        <v>68.356800000000021</v>
      </c>
      <c r="I13" s="3">
        <f t="shared" si="0"/>
        <v>911.42399999999998</v>
      </c>
      <c r="J13" s="3"/>
      <c r="K13" s="3" t="s">
        <v>52</v>
      </c>
    </row>
    <row r="14" spans="1:11">
      <c r="A14" s="3" t="s">
        <v>53</v>
      </c>
      <c r="B14" s="3">
        <f>VLOOKUP($A14,'S-1'!$A$1:$B$15,2,0)</f>
        <v>15.552000000000003</v>
      </c>
      <c r="C14" s="3">
        <f>VLOOKUP($A14,'S-2'!$A$1:$B$15,2,0)</f>
        <v>5.4432</v>
      </c>
      <c r="I14" s="3">
        <f t="shared" si="0"/>
        <v>15.552000000000003</v>
      </c>
      <c r="J14" s="3"/>
      <c r="K14" s="3" t="s">
        <v>53</v>
      </c>
    </row>
    <row r="15" spans="1:11">
      <c r="A15" s="4" t="s">
        <v>54</v>
      </c>
      <c r="B15" s="3">
        <f>VLOOKUP($A15,'S-1'!$A$1:$B$15,2,0)</f>
        <v>407.97600000000006</v>
      </c>
      <c r="C15" s="3">
        <f>VLOOKUP($A15,'S-2'!$A$1:$B$15,2,0)</f>
        <v>132.59219999999993</v>
      </c>
      <c r="I15" s="3">
        <f t="shared" si="0"/>
        <v>407.97600000000006</v>
      </c>
      <c r="J15" s="3"/>
      <c r="K15" s="4" t="s">
        <v>54</v>
      </c>
    </row>
    <row r="20" spans="1:11" ht="15">
      <c r="I20" s="2" t="s">
        <v>0</v>
      </c>
      <c r="J20" s="6" t="s">
        <v>2</v>
      </c>
      <c r="K20" s="6" t="s">
        <v>5</v>
      </c>
    </row>
    <row r="21" spans="1:11" ht="15">
      <c r="A21" s="6" t="s">
        <v>2</v>
      </c>
      <c r="B21" s="6" t="s">
        <v>5</v>
      </c>
      <c r="C21" s="2" t="s">
        <v>0</v>
      </c>
      <c r="I21" s="3" t="s">
        <v>6</v>
      </c>
      <c r="J21">
        <f ca="1">INDEX(A21:A35,MATCH(I21,C21:C35,0))</f>
        <v>0</v>
      </c>
    </row>
    <row r="22" spans="1:11">
      <c r="A22" s="3">
        <f ca="1">VLOOKUP($A22,'S-1'!$A$1:$B$15,2,0)</f>
        <v>261.95999999999998</v>
      </c>
      <c r="B22" s="3">
        <f ca="1">VLOOKUP($A22,'S-2'!$A$1:$B$15,2,0)</f>
        <v>41.913600000000002</v>
      </c>
      <c r="C22" s="3" t="s">
        <v>6</v>
      </c>
      <c r="I22" s="3" t="s">
        <v>8</v>
      </c>
    </row>
    <row r="23" spans="1:11">
      <c r="A23" s="3">
        <f ca="1">VLOOKUP($A23,'S-1'!$A$1:$B$15,2,0)</f>
        <v>731.93999999999994</v>
      </c>
      <c r="B23" s="3">
        <f ca="1">VLOOKUP($A23,'S-2'!$A$1:$B$15,2,0)</f>
        <v>219.58199999999997</v>
      </c>
      <c r="C23" s="3" t="s">
        <v>8</v>
      </c>
      <c r="I23" s="3" t="s">
        <v>10</v>
      </c>
    </row>
    <row r="24" spans="1:11">
      <c r="A24" s="3">
        <f ca="1">VLOOKUP($A24,'S-1'!$A$1:$B$15,2,0)</f>
        <v>14.62</v>
      </c>
      <c r="B24" s="3">
        <f ca="1">VLOOKUP($A24,'S-2'!$A$1:$B$15,2,0)</f>
        <v>6.8713999999999995</v>
      </c>
      <c r="C24" s="3" t="s">
        <v>10</v>
      </c>
      <c r="I24" s="3" t="s">
        <v>12</v>
      </c>
    </row>
    <row r="25" spans="1:11">
      <c r="A25" s="3">
        <f ca="1">VLOOKUP($A25,'S-1'!$A$1:$B$15,2,0)</f>
        <v>957.57749999999999</v>
      </c>
      <c r="B25" s="3">
        <f ca="1">VLOOKUP($A25,'S-2'!$A$1:$B$15,2,0)</f>
        <v>-383.03100000000006</v>
      </c>
      <c r="C25" s="3" t="s">
        <v>12</v>
      </c>
      <c r="I25" s="3" t="s">
        <v>14</v>
      </c>
    </row>
    <row r="26" spans="1:11">
      <c r="A26" s="3">
        <f ca="1">VLOOKUP($A26,'S-1'!$A$1:$B$15,2,0)</f>
        <v>22.368000000000002</v>
      </c>
      <c r="B26" s="3">
        <f ca="1">VLOOKUP($A26,'S-2'!$A$1:$B$15,2,0)</f>
        <v>2.5163999999999991</v>
      </c>
      <c r="C26" s="3" t="s">
        <v>14</v>
      </c>
      <c r="I26" s="3" t="s">
        <v>16</v>
      </c>
    </row>
    <row r="27" spans="1:11">
      <c r="A27" s="3">
        <f ca="1">VLOOKUP($A27,'S-1'!$A$1:$B$15,2,0)</f>
        <v>48.86</v>
      </c>
      <c r="B27" s="3">
        <f ca="1">VLOOKUP($A27,'S-2'!$A$1:$B$15,2,0)</f>
        <v>14.169399999999996</v>
      </c>
      <c r="C27" s="3" t="s">
        <v>16</v>
      </c>
      <c r="I27" s="3" t="s">
        <v>47</v>
      </c>
    </row>
    <row r="28" spans="1:11">
      <c r="A28" s="3">
        <f ca="1">VLOOKUP($A28,'S-1'!$A$1:$B$15,2,0)</f>
        <v>7.28</v>
      </c>
      <c r="B28" s="3">
        <f ca="1">VLOOKUP($A28,'S-2'!$A$1:$B$15,2,0)</f>
        <v>1.9656000000000002</v>
      </c>
      <c r="C28" s="3" t="s">
        <v>47</v>
      </c>
      <c r="I28" s="3" t="s">
        <v>48</v>
      </c>
    </row>
    <row r="29" spans="1:11">
      <c r="A29" s="3">
        <f ca="1">VLOOKUP($A29,'S-1'!$A$1:$B$15,2,0)</f>
        <v>907.15200000000004</v>
      </c>
      <c r="B29" s="3">
        <f ca="1">VLOOKUP($A29,'S-2'!$A$1:$B$15,2,0)</f>
        <v>90.715200000000038</v>
      </c>
      <c r="C29" s="3" t="s">
        <v>48</v>
      </c>
      <c r="I29" s="3" t="s">
        <v>49</v>
      </c>
    </row>
    <row r="30" spans="1:11">
      <c r="A30" s="3">
        <f ca="1">VLOOKUP($A30,'S-1'!$A$1:$B$15,2,0)</f>
        <v>18.504000000000001</v>
      </c>
      <c r="B30" s="3">
        <f ca="1">VLOOKUP($A30,'S-2'!$A$1:$B$15,2,0)</f>
        <v>5.7824999999999998</v>
      </c>
      <c r="C30" s="3" t="s">
        <v>49</v>
      </c>
      <c r="I30" s="3" t="s">
        <v>50</v>
      </c>
    </row>
    <row r="31" spans="1:11">
      <c r="A31" s="3">
        <f ca="1">VLOOKUP($A31,'S-1'!$A$1:$B$15,2,0)</f>
        <v>114.9</v>
      </c>
      <c r="B31" s="3">
        <f ca="1">VLOOKUP($A31,'S-2'!$A$1:$B$15,2,0)</f>
        <v>34.469999999999992</v>
      </c>
      <c r="C31" s="3" t="s">
        <v>50</v>
      </c>
      <c r="I31" s="3" t="s">
        <v>51</v>
      </c>
    </row>
    <row r="32" spans="1:11">
      <c r="A32" s="3">
        <f ca="1">VLOOKUP($A32,'S-1'!$A$1:$B$15,2,0)</f>
        <v>1706.1840000000002</v>
      </c>
      <c r="B32" s="3">
        <f ca="1">VLOOKUP($A32,'S-2'!$A$1:$B$15,2,0)</f>
        <v>85.309199999999805</v>
      </c>
      <c r="C32" s="3" t="s">
        <v>51</v>
      </c>
      <c r="I32" s="3" t="s">
        <v>52</v>
      </c>
    </row>
    <row r="33" spans="1:9">
      <c r="A33" s="3">
        <f ca="1">VLOOKUP($A33,'S-1'!$A$1:$B$15,2,0)</f>
        <v>911.42399999999998</v>
      </c>
      <c r="B33" s="3">
        <f ca="1">VLOOKUP($A33,'S-2'!$A$1:$B$15,2,0)</f>
        <v>68.356800000000021</v>
      </c>
      <c r="C33" s="3" t="s">
        <v>52</v>
      </c>
      <c r="I33" s="3" t="s">
        <v>53</v>
      </c>
    </row>
    <row r="34" spans="1:9">
      <c r="A34" s="3">
        <f ca="1">VLOOKUP($A34,'S-1'!$A$1:$B$15,2,0)</f>
        <v>15.552000000000003</v>
      </c>
      <c r="B34" s="3">
        <f ca="1">VLOOKUP($A34,'S-2'!$A$1:$B$15,2,0)</f>
        <v>5.4432</v>
      </c>
      <c r="C34" s="3" t="s">
        <v>53</v>
      </c>
      <c r="I34" s="4" t="s">
        <v>54</v>
      </c>
    </row>
    <row r="35" spans="1:9">
      <c r="A35" s="3">
        <f ca="1">VLOOKUP($A35,'S-1'!$A$1:$B$15,2,0)</f>
        <v>407.97600000000006</v>
      </c>
      <c r="B35" s="3">
        <f ca="1">VLOOKUP($A35,'S-2'!$A$1:$B$15,2,0)</f>
        <v>132.59219999999993</v>
      </c>
      <c r="C35" s="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4.25"/>
  <cols>
    <col min="1" max="1" width="11.875" customWidth="1"/>
  </cols>
  <sheetData>
    <row r="1" spans="1:2" ht="15">
      <c r="A1" s="2" t="s">
        <v>0</v>
      </c>
      <c r="B1" s="2" t="s">
        <v>2</v>
      </c>
    </row>
    <row r="2" spans="1:2">
      <c r="A2" s="3" t="s">
        <v>6</v>
      </c>
      <c r="B2" s="3">
        <v>261.95999999999998</v>
      </c>
    </row>
    <row r="3" spans="1:2">
      <c r="A3" s="3" t="s">
        <v>8</v>
      </c>
      <c r="B3" s="3">
        <v>731.93999999999994</v>
      </c>
    </row>
    <row r="4" spans="1:2">
      <c r="A4" s="3" t="s">
        <v>10</v>
      </c>
      <c r="B4" s="3">
        <v>14.62</v>
      </c>
    </row>
    <row r="5" spans="1:2">
      <c r="A5" s="3" t="s">
        <v>12</v>
      </c>
      <c r="B5" s="3">
        <v>957.57749999999999</v>
      </c>
    </row>
    <row r="6" spans="1:2">
      <c r="A6" s="3" t="s">
        <v>14</v>
      </c>
      <c r="B6" s="3">
        <v>22.368000000000002</v>
      </c>
    </row>
    <row r="7" spans="1:2">
      <c r="A7" s="3" t="s">
        <v>16</v>
      </c>
      <c r="B7" s="3">
        <v>48.86</v>
      </c>
    </row>
    <row r="8" spans="1:2">
      <c r="A8" s="3" t="s">
        <v>47</v>
      </c>
      <c r="B8" s="3">
        <v>7.28</v>
      </c>
    </row>
    <row r="9" spans="1:2">
      <c r="A9" s="3" t="s">
        <v>48</v>
      </c>
      <c r="B9" s="3">
        <v>907.15200000000004</v>
      </c>
    </row>
    <row r="10" spans="1:2">
      <c r="A10" s="3" t="s">
        <v>49</v>
      </c>
      <c r="B10" s="3">
        <v>18.504000000000001</v>
      </c>
    </row>
    <row r="11" spans="1:2">
      <c r="A11" s="3" t="s">
        <v>50</v>
      </c>
      <c r="B11" s="3">
        <v>114.9</v>
      </c>
    </row>
    <row r="12" spans="1:2">
      <c r="A12" s="3" t="s">
        <v>51</v>
      </c>
      <c r="B12" s="3">
        <v>1706.1840000000002</v>
      </c>
    </row>
    <row r="13" spans="1:2">
      <c r="A13" s="3" t="s">
        <v>52</v>
      </c>
      <c r="B13" s="3">
        <v>911.42399999999998</v>
      </c>
    </row>
    <row r="14" spans="1:2">
      <c r="A14" s="3" t="s">
        <v>53</v>
      </c>
      <c r="B14" s="3">
        <v>15.552000000000003</v>
      </c>
    </row>
    <row r="15" spans="1:2">
      <c r="A15" s="4" t="s">
        <v>54</v>
      </c>
      <c r="B15" s="4">
        <v>407.97600000000006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C20" sqref="C20:D34"/>
    </sheetView>
  </sheetViews>
  <sheetFormatPr defaultRowHeight="14.25"/>
  <cols>
    <col min="1" max="1" width="11.625" customWidth="1"/>
  </cols>
  <sheetData>
    <row r="1" spans="1:2" ht="15">
      <c r="A1" s="2" t="s">
        <v>0</v>
      </c>
      <c r="B1" s="6" t="s">
        <v>5</v>
      </c>
    </row>
    <row r="2" spans="1:2">
      <c r="A2" s="3" t="s">
        <v>6</v>
      </c>
      <c r="B2" s="3">
        <v>41.913600000000002</v>
      </c>
    </row>
    <row r="3" spans="1:2">
      <c r="A3" s="3" t="s">
        <v>8</v>
      </c>
      <c r="B3" s="3">
        <v>219.58199999999997</v>
      </c>
    </row>
    <row r="4" spans="1:2">
      <c r="A4" s="3" t="s">
        <v>10</v>
      </c>
      <c r="B4" s="3">
        <v>6.8713999999999995</v>
      </c>
    </row>
    <row r="5" spans="1:2">
      <c r="A5" s="3" t="s">
        <v>12</v>
      </c>
      <c r="B5" s="3">
        <v>-383.03100000000006</v>
      </c>
    </row>
    <row r="6" spans="1:2">
      <c r="A6" s="3" t="s">
        <v>14</v>
      </c>
      <c r="B6" s="3">
        <v>2.5163999999999991</v>
      </c>
    </row>
    <row r="7" spans="1:2">
      <c r="A7" s="3" t="s">
        <v>16</v>
      </c>
      <c r="B7" s="3">
        <v>14.169399999999996</v>
      </c>
    </row>
    <row r="8" spans="1:2">
      <c r="A8" s="3" t="s">
        <v>47</v>
      </c>
      <c r="B8" s="3">
        <v>1.9656000000000002</v>
      </c>
    </row>
    <row r="9" spans="1:2">
      <c r="A9" s="3" t="s">
        <v>48</v>
      </c>
      <c r="B9" s="3">
        <v>90.715200000000038</v>
      </c>
    </row>
    <row r="10" spans="1:2">
      <c r="A10" s="3" t="s">
        <v>49</v>
      </c>
      <c r="B10" s="3">
        <v>5.7824999999999998</v>
      </c>
    </row>
    <row r="11" spans="1:2">
      <c r="A11" s="3" t="s">
        <v>50</v>
      </c>
      <c r="B11" s="3">
        <v>34.469999999999992</v>
      </c>
    </row>
    <row r="12" spans="1:2">
      <c r="A12" s="3" t="s">
        <v>51</v>
      </c>
      <c r="B12" s="3">
        <v>85.309199999999805</v>
      </c>
    </row>
    <row r="13" spans="1:2">
      <c r="A13" s="3" t="s">
        <v>52</v>
      </c>
      <c r="B13" s="3">
        <v>68.356800000000021</v>
      </c>
    </row>
    <row r="14" spans="1:2">
      <c r="A14" s="3" t="s">
        <v>53</v>
      </c>
      <c r="B14" s="3">
        <v>5.4432</v>
      </c>
    </row>
    <row r="15" spans="1:2">
      <c r="A15" s="4" t="s">
        <v>54</v>
      </c>
      <c r="B15" s="4">
        <v>132.59219999999993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K2" sqref="K2:N4"/>
    </sheetView>
  </sheetViews>
  <sheetFormatPr defaultRowHeight="14.25"/>
  <cols>
    <col min="1" max="1" width="15.5" bestFit="1" customWidth="1"/>
    <col min="2" max="2" width="8.875" bestFit="1" customWidth="1"/>
    <col min="4" max="4" width="9" bestFit="1" customWidth="1"/>
    <col min="5" max="5" width="8.5" bestFit="1" customWidth="1"/>
    <col min="6" max="6" width="12.125" bestFit="1" customWidth="1"/>
    <col min="10" max="10" width="12.125" bestFit="1" customWidth="1"/>
    <col min="11" max="11" width="8.75" bestFit="1" customWidth="1"/>
    <col min="12" max="12" width="9" bestFit="1" customWidth="1"/>
    <col min="13" max="13" width="15.5" bestFit="1" customWidth="1"/>
    <col min="14" max="14" width="5.875" bestFit="1" customWidth="1"/>
  </cols>
  <sheetData>
    <row r="1" spans="1:14" ht="15.75">
      <c r="A1" s="1" t="s">
        <v>1</v>
      </c>
      <c r="B1" s="1" t="s">
        <v>2</v>
      </c>
      <c r="C1" s="1" t="s">
        <v>3</v>
      </c>
      <c r="D1" s="1" t="s">
        <v>4</v>
      </c>
      <c r="E1" s="1" t="s">
        <v>3</v>
      </c>
      <c r="F1" s="1" t="s">
        <v>0</v>
      </c>
      <c r="J1" s="1" t="s">
        <v>0</v>
      </c>
      <c r="K1" s="1" t="s">
        <v>3</v>
      </c>
      <c r="L1" s="1" t="s">
        <v>4</v>
      </c>
      <c r="M1" s="1" t="s">
        <v>1</v>
      </c>
      <c r="N1" s="1" t="s">
        <v>2</v>
      </c>
    </row>
    <row r="2" spans="1:14">
      <c r="A2" t="s">
        <v>7</v>
      </c>
      <c r="B2">
        <v>261.95999999999998</v>
      </c>
      <c r="C2">
        <v>2</v>
      </c>
      <c r="D2">
        <v>0</v>
      </c>
      <c r="E2">
        <v>41.913600000000002</v>
      </c>
      <c r="F2" t="s">
        <v>6</v>
      </c>
      <c r="J2" t="s">
        <v>8</v>
      </c>
      <c r="K2">
        <f>VLOOKUP($J2,CHOOSE({1,2,3,4,5},$F$1:$F$7,$C$1:$C$7,$D$1:$D$7,$A$1:$A$7,$B$1:$B$7),2,0)</f>
        <v>3</v>
      </c>
      <c r="L2">
        <f>VLOOKUP($J2,CHOOSE({1,2,3,4,5},$F$1:$F$7,$C$1:$C$7,$D$1:$D$7,$A$1:$A$7,$B$1:$B$7),3,0)</f>
        <v>0</v>
      </c>
      <c r="M2" t="str">
        <f>VLOOKUP($J2,CHOOSE({1,2,3,4,5},$F$1:$F$7,$C$1:$C$7,$D$1:$D$7,$A$1:$A$7,$B$1:$B$7),4,0)</f>
        <v>Darrin Van Huff</v>
      </c>
      <c r="N2">
        <f>VLOOKUP($J2,CHOOSE({1,2,3,4,5},$F$1:$F$7,$C$1:$C$7,$D$1:$D$7,$A$1:$A$7,$B$1:$B$7),5,0)</f>
        <v>731.93999999999994</v>
      </c>
    </row>
    <row r="3" spans="1:14">
      <c r="A3" t="s">
        <v>9</v>
      </c>
      <c r="B3">
        <v>731.93999999999994</v>
      </c>
      <c r="C3">
        <v>3</v>
      </c>
      <c r="D3">
        <v>0</v>
      </c>
      <c r="E3">
        <v>219.58199999999997</v>
      </c>
      <c r="F3" t="s">
        <v>8</v>
      </c>
      <c r="J3" t="s">
        <v>10</v>
      </c>
      <c r="K3">
        <f>VLOOKUP($J3,CHOOSE({1,2,3,4,5},$F$1:$F$7,$C$1:$C$7,$D$1:$D$7,$A$1:$A$7,$B$1:$B$7),2,0)</f>
        <v>2</v>
      </c>
      <c r="L3">
        <f>VLOOKUP($J3,CHOOSE({1,2,3,4,5},$F$1:$F$7,$C$1:$C$7,$D$1:$D$7,$A$1:$A$7,$B$1:$B$7),3,0)</f>
        <v>0</v>
      </c>
      <c r="M3" t="str">
        <f>VLOOKUP($J3,CHOOSE({1,2,3,4,5},$F$1:$F$7,$C$1:$C$7,$D$1:$D$7,$A$1:$A$7,$B$1:$B$7),4,0)</f>
        <v>Sean O'Donnell</v>
      </c>
      <c r="N3">
        <f>VLOOKUP($J3,CHOOSE({1,2,3,4,5},$F$1:$F$7,$C$1:$C$7,$D$1:$D$7,$A$1:$A$7,$B$1:$B$7),5,0)</f>
        <v>14.62</v>
      </c>
    </row>
    <row r="4" spans="1:14">
      <c r="A4" t="s">
        <v>11</v>
      </c>
      <c r="B4">
        <v>14.62</v>
      </c>
      <c r="C4">
        <v>2</v>
      </c>
      <c r="D4">
        <v>0</v>
      </c>
      <c r="E4">
        <v>6.8713999999999995</v>
      </c>
      <c r="F4" t="s">
        <v>10</v>
      </c>
      <c r="J4" t="s">
        <v>12</v>
      </c>
      <c r="K4">
        <f>VLOOKUP($J4,CHOOSE({1,2,3,4,5},$F$1:$F$7,$C$1:$C$7,$D$1:$D$7,$A$1:$A$7,$B$1:$B$7),2,0)</f>
        <v>5</v>
      </c>
      <c r="L4">
        <f>VLOOKUP($J4,CHOOSE({1,2,3,4,5},$F$1:$F$7,$C$1:$C$7,$D$1:$D$7,$A$1:$A$7,$B$1:$B$7),3,0)</f>
        <v>0.45</v>
      </c>
      <c r="M4" t="str">
        <f>VLOOKUP($J4,CHOOSE({1,2,3,4,5},$F$1:$F$7,$C$1:$C$7,$D$1:$D$7,$A$1:$A$7,$B$1:$B$7),4,0)</f>
        <v>Brosina Hoffman</v>
      </c>
      <c r="N4">
        <f>VLOOKUP($J4,CHOOSE({1,2,3,4,5},$F$1:$F$7,$C$1:$C$7,$D$1:$D$7,$A$1:$A$7,$B$1:$B$7),5,0)</f>
        <v>957.57749999999999</v>
      </c>
    </row>
    <row r="5" spans="1:14">
      <c r="A5" t="s">
        <v>13</v>
      </c>
      <c r="B5">
        <v>957.57749999999999</v>
      </c>
      <c r="C5">
        <v>5</v>
      </c>
      <c r="D5">
        <v>0.45</v>
      </c>
      <c r="E5">
        <v>-383.03100000000006</v>
      </c>
      <c r="F5" t="s">
        <v>12</v>
      </c>
    </row>
    <row r="6" spans="1:14">
      <c r="A6" t="s">
        <v>15</v>
      </c>
      <c r="B6">
        <v>22.368000000000002</v>
      </c>
      <c r="C6">
        <v>2</v>
      </c>
      <c r="D6">
        <v>0.2</v>
      </c>
      <c r="E6">
        <v>2.5163999999999991</v>
      </c>
      <c r="F6" t="s">
        <v>14</v>
      </c>
    </row>
    <row r="7" spans="1:14">
      <c r="A7" t="s">
        <v>17</v>
      </c>
      <c r="B7">
        <v>48.86</v>
      </c>
      <c r="C7">
        <v>7</v>
      </c>
      <c r="D7">
        <v>0</v>
      </c>
      <c r="E7">
        <v>14.169399999999996</v>
      </c>
      <c r="F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L10" sqref="L10:O11"/>
    </sheetView>
  </sheetViews>
  <sheetFormatPr defaultRowHeight="14.25"/>
  <cols>
    <col min="1" max="1" width="15.5" bestFit="1" customWidth="1"/>
    <col min="2" max="2" width="8.875" bestFit="1" customWidth="1"/>
    <col min="4" max="4" width="9" bestFit="1" customWidth="1"/>
    <col min="6" max="6" width="12.125" bestFit="1" customWidth="1"/>
    <col min="11" max="11" width="12.125" bestFit="1" customWidth="1"/>
    <col min="13" max="13" width="9" bestFit="1" customWidth="1"/>
    <col min="14" max="14" width="15.5" bestFit="1" customWidth="1"/>
    <col min="15" max="15" width="5.875" bestFit="1" customWidth="1"/>
  </cols>
  <sheetData>
    <row r="1" spans="1:15" ht="15.7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K1" s="1" t="s">
        <v>0</v>
      </c>
      <c r="L1" s="1" t="s">
        <v>3</v>
      </c>
      <c r="M1" s="1" t="s">
        <v>4</v>
      </c>
      <c r="N1" s="1" t="s">
        <v>1</v>
      </c>
      <c r="O1" s="1" t="s">
        <v>2</v>
      </c>
    </row>
    <row r="2" spans="1:15">
      <c r="A2" t="s">
        <v>7</v>
      </c>
      <c r="B2">
        <v>261.95999999999998</v>
      </c>
      <c r="C2">
        <v>2</v>
      </c>
      <c r="D2">
        <v>0</v>
      </c>
      <c r="E2">
        <v>41.913600000000002</v>
      </c>
      <c r="F2" t="s">
        <v>6</v>
      </c>
      <c r="K2" t="s">
        <v>6</v>
      </c>
      <c r="L2">
        <f>INDEX($A$1:$F$7,MATCH($K2,$F$1:$F$7,0),MATCH(L$1,$A$1:$F$1,0))</f>
        <v>2</v>
      </c>
      <c r="M2">
        <f t="shared" ref="M2:O2" si="0">INDEX($A$1:$F$7,MATCH($K2,$F$1:$F$7,0),MATCH(M$1,$A$1:$F$1,0))</f>
        <v>0</v>
      </c>
      <c r="N2" t="str">
        <f t="shared" si="0"/>
        <v>Claire Gute</v>
      </c>
      <c r="O2">
        <f t="shared" si="0"/>
        <v>261.95999999999998</v>
      </c>
    </row>
    <row r="3" spans="1:15">
      <c r="A3" t="s">
        <v>9</v>
      </c>
      <c r="B3">
        <v>731.93999999999994</v>
      </c>
      <c r="C3">
        <v>3</v>
      </c>
      <c r="D3">
        <v>0</v>
      </c>
      <c r="E3">
        <v>219.58199999999997</v>
      </c>
      <c r="F3" t="s">
        <v>8</v>
      </c>
      <c r="K3" t="s">
        <v>8</v>
      </c>
      <c r="L3">
        <f t="shared" ref="L3:O5" si="1">INDEX($A$1:$F$7,MATCH($K3,$F$1:$F$7,0),MATCH(L$1,$A$1:$F$1,0))</f>
        <v>3</v>
      </c>
      <c r="M3">
        <f t="shared" si="1"/>
        <v>0</v>
      </c>
      <c r="N3" t="str">
        <f t="shared" si="1"/>
        <v>Darrin Van Huff</v>
      </c>
      <c r="O3">
        <f t="shared" si="1"/>
        <v>731.93999999999994</v>
      </c>
    </row>
    <row r="4" spans="1:15">
      <c r="A4" t="s">
        <v>11</v>
      </c>
      <c r="B4">
        <v>14.62</v>
      </c>
      <c r="C4">
        <v>2</v>
      </c>
      <c r="D4">
        <v>0</v>
      </c>
      <c r="E4">
        <v>6.8713999999999995</v>
      </c>
      <c r="F4" t="s">
        <v>10</v>
      </c>
      <c r="K4" t="s">
        <v>10</v>
      </c>
      <c r="L4">
        <f t="shared" si="1"/>
        <v>2</v>
      </c>
      <c r="M4">
        <f t="shared" si="1"/>
        <v>0</v>
      </c>
      <c r="N4" t="str">
        <f t="shared" si="1"/>
        <v>Sean O'Donnell</v>
      </c>
      <c r="O4">
        <f t="shared" si="1"/>
        <v>14.62</v>
      </c>
    </row>
    <row r="5" spans="1:15">
      <c r="A5" t="s">
        <v>13</v>
      </c>
      <c r="B5">
        <v>957.57749999999999</v>
      </c>
      <c r="C5">
        <v>5</v>
      </c>
      <c r="D5">
        <v>0.45</v>
      </c>
      <c r="E5">
        <v>-383.03100000000006</v>
      </c>
      <c r="F5" t="s">
        <v>12</v>
      </c>
      <c r="K5" t="s">
        <v>12</v>
      </c>
      <c r="L5">
        <f t="shared" si="1"/>
        <v>5</v>
      </c>
      <c r="M5">
        <f t="shared" si="1"/>
        <v>0.45</v>
      </c>
      <c r="N5" t="str">
        <f t="shared" si="1"/>
        <v>Brosina Hoffman</v>
      </c>
      <c r="O5">
        <f t="shared" si="1"/>
        <v>957.57749999999999</v>
      </c>
    </row>
    <row r="6" spans="1:15">
      <c r="A6" t="s">
        <v>15</v>
      </c>
      <c r="B6">
        <v>22.368000000000002</v>
      </c>
      <c r="C6">
        <v>2</v>
      </c>
      <c r="D6">
        <v>0.2</v>
      </c>
      <c r="E6">
        <v>2.5163999999999991</v>
      </c>
      <c r="F6" t="s">
        <v>14</v>
      </c>
    </row>
    <row r="7" spans="1:15">
      <c r="A7" t="s">
        <v>17</v>
      </c>
      <c r="B7">
        <v>48.86</v>
      </c>
      <c r="C7">
        <v>7</v>
      </c>
      <c r="D7">
        <v>0</v>
      </c>
      <c r="E7">
        <v>14.169399999999996</v>
      </c>
      <c r="F7" t="s">
        <v>16</v>
      </c>
    </row>
    <row r="9" spans="1:15" ht="15.75">
      <c r="K9" s="1" t="s">
        <v>0</v>
      </c>
      <c r="L9" s="1" t="s">
        <v>3</v>
      </c>
      <c r="M9" s="1" t="s">
        <v>4</v>
      </c>
      <c r="N9" s="1" t="s">
        <v>1</v>
      </c>
      <c r="O9" s="1" t="s">
        <v>2</v>
      </c>
    </row>
    <row r="10" spans="1:15">
      <c r="K10" t="s">
        <v>16</v>
      </c>
      <c r="L10">
        <f>INDEX($A$1:$F$7,MATCH($K10,$F$1:$F$7,0),MATCH(L$9,$A$1:$F$1,0))</f>
        <v>7</v>
      </c>
      <c r="M10">
        <f t="shared" ref="M10:O11" si="2">INDEX($A$1:$F$7,MATCH($K10,$F$1:$F$7,0),MATCH(M$9,$A$1:$F$1,0))</f>
        <v>0</v>
      </c>
      <c r="N10" t="str">
        <f t="shared" si="2"/>
        <v>Irene Maddox</v>
      </c>
      <c r="O10">
        <f t="shared" si="2"/>
        <v>48.86</v>
      </c>
    </row>
    <row r="11" spans="1:15">
      <c r="K11" t="s">
        <v>6</v>
      </c>
      <c r="L11">
        <f>INDEX($A$1:$F$7,MATCH($K11,$F$1:$F$7,0),MATCH(L$9,$A$1:$F$1,0))</f>
        <v>2</v>
      </c>
      <c r="M11">
        <f t="shared" si="2"/>
        <v>0</v>
      </c>
      <c r="N11" t="str">
        <f t="shared" si="2"/>
        <v>Claire Gute</v>
      </c>
      <c r="O11">
        <f t="shared" si="2"/>
        <v>261.95999999999998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 IF Error</vt:lpstr>
      <vt:lpstr>Nested V Lookup</vt:lpstr>
      <vt:lpstr>Multiple Table Vlookup</vt:lpstr>
      <vt:lpstr>Vlookup on Multiple Sheet</vt:lpstr>
      <vt:lpstr>S-1</vt:lpstr>
      <vt:lpstr>S-2</vt:lpstr>
      <vt:lpstr>Vlookup- Choose</vt:lpstr>
      <vt:lpstr>Vlookup -Index Match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Jaiswal</dc:creator>
  <cp:lastModifiedBy>Ayush</cp:lastModifiedBy>
  <dcterms:created xsi:type="dcterms:W3CDTF">2025-09-05T16:35:55Z</dcterms:created>
  <dcterms:modified xsi:type="dcterms:W3CDTF">2025-09-07T07:31:48Z</dcterms:modified>
</cp:coreProperties>
</file>