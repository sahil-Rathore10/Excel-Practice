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slicers/slicer3.xml" ContentType="application/vnd.ms-excel.slicer+xml"/>
  <Override PartName="/xl/timelines/timeline3.xml" ContentType="application/vnd.ms-excel.timelin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slicers/slicer4.xml" ContentType="application/vnd.ms-excel.slicer+xml"/>
  <Override PartName="/xl/timelines/timeline4.xml" ContentType="application/vnd.ms-excel.timelin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7.xml" ContentType="application/vnd.openxmlformats-officedocument.drawing+xml"/>
  <Override PartName="/xl/slicers/slicer5.xml" ContentType="application/vnd.ms-excel.slicer+xml"/>
  <Override PartName="/xl/timelines/timeline5.xml" ContentType="application/vnd.ms-excel.timelin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8.xml" ContentType="application/vnd.openxmlformats-officedocument.drawing+xml"/>
  <Override PartName="/xl/slicers/slicer6.xml" ContentType="application/vnd.ms-excel.slicer+xml"/>
  <Override PartName="/xl/timelines/timeline6.xml" ContentType="application/vnd.ms-excel.timeline+xml"/>
  <Override PartName="/xl/drawings/drawing9.xml" ContentType="application/vnd.openxmlformats-officedocument.drawing+xml"/>
  <Override PartName="/xl/slicers/slicer7.xml" ContentType="application/vnd.ms-excel.slicer+xml"/>
  <Override PartName="/xl/timelines/timeline7.xml" ContentType="application/vnd.ms-excel.timelin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10.xml" ContentType="application/vnd.openxmlformats-officedocument.drawingml.chartshapes+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11.xml" ContentType="application/vnd.openxmlformats-officedocument.drawingml.chartshapes+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3040" windowHeight="9195" activeTab="6"/>
  </bookViews>
  <sheets>
    <sheet name="new-prod" sheetId="12" r:id="rId1"/>
    <sheet name="new-pivot" sheetId="11" r:id="rId2"/>
    <sheet name="Data" sheetId="2" r:id="rId3"/>
    <sheet name="Pivot Table" sheetId="3" r:id="rId4"/>
    <sheet name="Dashboard" sheetId="6" r:id="rId5"/>
    <sheet name="Product" sheetId="7" r:id="rId6"/>
    <sheet name="Salesman" sheetId="8" r:id="rId7"/>
    <sheet name="About Us" sheetId="9" r:id="rId8"/>
    <sheet name="new-dash" sheetId="10" r:id="rId9"/>
  </sheets>
  <definedNames>
    <definedName name="NativeTimeline_Date">#N/A</definedName>
    <definedName name="NativeTimeline_Date1">#N/A</definedName>
    <definedName name="NativeTimeline_Date2">#N/A</definedName>
    <definedName name="NativeTimeline_Date3">#N/A</definedName>
    <definedName name="Slicer_Item">#N/A</definedName>
    <definedName name="Slicer_Item1">#N/A</definedName>
    <definedName name="Slicer_Item2">#N/A</definedName>
    <definedName name="Slicer_Item3">#N/A</definedName>
    <definedName name="Slicer_Item4">#N/A</definedName>
    <definedName name="Slicer_Item5">#N/A</definedName>
    <definedName name="Slicer_Item6">#N/A</definedName>
    <definedName name="Slicer_Region">#N/A</definedName>
    <definedName name="Slicer_Region1">#N/A</definedName>
    <definedName name="Slicer_Region2">#N/A</definedName>
    <definedName name="Slicer_Region3">#N/A</definedName>
    <definedName name="Slicer_Region4">#N/A</definedName>
  </definedNames>
  <calcPr calcId="152511" concurrentCalc="0"/>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1"/>
        <x15:timelineCacheRef r:id="rId22"/>
        <x15:timelineCacheRef r:id="rId2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58" i="11" l="1"/>
  <c r="B53" i="11"/>
  <c r="H367" i="2"/>
  <c r="H366" i="2"/>
  <c r="H365" i="2"/>
  <c r="H364" i="2"/>
  <c r="H363" i="2"/>
  <c r="H362" i="2"/>
  <c r="H361" i="2"/>
  <c r="H360" i="2"/>
  <c r="H359" i="2"/>
  <c r="H358" i="2"/>
  <c r="H357" i="2"/>
  <c r="H356" i="2"/>
  <c r="H355" i="2"/>
  <c r="H354" i="2"/>
  <c r="H353" i="2"/>
  <c r="H352" i="2"/>
  <c r="H351" i="2"/>
  <c r="H350" i="2"/>
  <c r="H349" i="2"/>
  <c r="H348" i="2"/>
  <c r="H347" i="2"/>
  <c r="H346" i="2"/>
  <c r="H345" i="2"/>
  <c r="H344" i="2"/>
  <c r="H343" i="2"/>
  <c r="H342" i="2"/>
  <c r="H341" i="2"/>
  <c r="H340" i="2"/>
  <c r="H339" i="2"/>
  <c r="H338" i="2"/>
  <c r="H337" i="2"/>
  <c r="H336" i="2"/>
  <c r="H335" i="2"/>
  <c r="H334" i="2"/>
  <c r="H333" i="2"/>
  <c r="H332" i="2"/>
  <c r="H331" i="2"/>
  <c r="H330" i="2"/>
  <c r="H329" i="2"/>
  <c r="H328" i="2"/>
  <c r="H327" i="2"/>
  <c r="H326" i="2"/>
  <c r="H325" i="2"/>
  <c r="H324" i="2"/>
  <c r="H323" i="2"/>
  <c r="H322" i="2"/>
  <c r="H321" i="2"/>
  <c r="H320" i="2"/>
  <c r="H319" i="2"/>
  <c r="H318" i="2"/>
  <c r="H317" i="2"/>
  <c r="H316" i="2"/>
  <c r="H315" i="2"/>
  <c r="H314" i="2"/>
  <c r="H313" i="2"/>
  <c r="H312" i="2"/>
  <c r="H311" i="2"/>
  <c r="H310" i="2"/>
  <c r="H309" i="2"/>
  <c r="H308" i="2"/>
  <c r="H307" i="2"/>
  <c r="H306" i="2"/>
  <c r="H305" i="2"/>
  <c r="H304" i="2"/>
  <c r="H303" i="2"/>
  <c r="H302" i="2"/>
  <c r="H301" i="2"/>
  <c r="H300" i="2"/>
  <c r="H299" i="2"/>
  <c r="H298" i="2"/>
  <c r="H297" i="2"/>
  <c r="H296" i="2"/>
  <c r="H295" i="2"/>
  <c r="H294" i="2"/>
  <c r="H293" i="2"/>
  <c r="H292" i="2"/>
  <c r="H291" i="2"/>
  <c r="H290" i="2"/>
  <c r="H289" i="2"/>
  <c r="H288" i="2"/>
  <c r="H287" i="2"/>
  <c r="H286" i="2"/>
  <c r="H285" i="2"/>
  <c r="H284" i="2"/>
  <c r="H283" i="2"/>
  <c r="H282" i="2"/>
  <c r="H281" i="2"/>
  <c r="H280" i="2"/>
  <c r="H279" i="2"/>
  <c r="H278" i="2"/>
  <c r="H277" i="2"/>
  <c r="H276" i="2"/>
  <c r="H275" i="2"/>
  <c r="H274" i="2"/>
  <c r="H273" i="2"/>
  <c r="H272" i="2"/>
  <c r="H271" i="2"/>
  <c r="H270" i="2"/>
  <c r="H269" i="2"/>
  <c r="H268" i="2"/>
  <c r="H267" i="2"/>
  <c r="H266" i="2"/>
  <c r="H265" i="2"/>
  <c r="H264" i="2"/>
  <c r="H263" i="2"/>
  <c r="H262" i="2"/>
  <c r="H261" i="2"/>
  <c r="H260" i="2"/>
  <c r="H259" i="2"/>
  <c r="H258" i="2"/>
  <c r="H257" i="2"/>
  <c r="H256" i="2"/>
  <c r="H255" i="2"/>
  <c r="H254" i="2"/>
  <c r="H253" i="2"/>
  <c r="H252" i="2"/>
  <c r="H251" i="2"/>
  <c r="H250" i="2"/>
  <c r="H249" i="2"/>
  <c r="H248" i="2"/>
  <c r="H247" i="2"/>
  <c r="H246" i="2"/>
  <c r="H245" i="2"/>
  <c r="H244" i="2"/>
  <c r="H243" i="2"/>
  <c r="H242" i="2"/>
  <c r="H241" i="2"/>
  <c r="H240" i="2"/>
  <c r="H239" i="2"/>
  <c r="H238" i="2"/>
  <c r="H237" i="2"/>
  <c r="H236" i="2"/>
  <c r="H235" i="2"/>
  <c r="H234" i="2"/>
  <c r="H233" i="2"/>
  <c r="H232" i="2"/>
  <c r="H231" i="2"/>
  <c r="H230" i="2"/>
  <c r="H229" i="2"/>
  <c r="H228" i="2"/>
  <c r="H227" i="2"/>
  <c r="H226" i="2"/>
  <c r="H225" i="2"/>
  <c r="H224" i="2"/>
  <c r="H223" i="2"/>
  <c r="H222" i="2"/>
  <c r="H221" i="2"/>
  <c r="H220" i="2"/>
  <c r="H219" i="2"/>
  <c r="H218" i="2"/>
  <c r="H217" i="2"/>
  <c r="H216" i="2"/>
  <c r="H215" i="2"/>
  <c r="H214" i="2"/>
  <c r="H213" i="2"/>
  <c r="H212" i="2"/>
  <c r="H211" i="2"/>
  <c r="H210" i="2"/>
  <c r="H209" i="2"/>
  <c r="H208" i="2"/>
  <c r="H207" i="2"/>
  <c r="H206" i="2"/>
  <c r="H205" i="2"/>
  <c r="H204" i="2"/>
  <c r="H203" i="2"/>
  <c r="H202" i="2"/>
  <c r="H201" i="2"/>
  <c r="H200" i="2"/>
  <c r="H199" i="2"/>
  <c r="H198" i="2"/>
  <c r="H197" i="2"/>
  <c r="H196" i="2"/>
  <c r="H195" i="2"/>
  <c r="H194" i="2"/>
  <c r="H193" i="2"/>
  <c r="H192" i="2"/>
  <c r="H191" i="2"/>
  <c r="H190" i="2"/>
  <c r="H189" i="2"/>
  <c r="H188" i="2"/>
  <c r="H187" i="2"/>
  <c r="H186" i="2"/>
  <c r="H185" i="2"/>
  <c r="H184" i="2"/>
  <c r="H183" i="2"/>
  <c r="H182" i="2"/>
  <c r="H181" i="2"/>
  <c r="H180" i="2"/>
  <c r="H179" i="2"/>
  <c r="H178" i="2"/>
  <c r="H177" i="2"/>
  <c r="H176" i="2"/>
  <c r="H175" i="2"/>
  <c r="H174" i="2"/>
  <c r="H173" i="2"/>
  <c r="H172" i="2"/>
  <c r="H171" i="2"/>
  <c r="H170" i="2"/>
  <c r="H169" i="2"/>
  <c r="H168" i="2"/>
  <c r="H167" i="2"/>
  <c r="H166" i="2"/>
  <c r="H165" i="2"/>
  <c r="H164" i="2"/>
  <c r="H163" i="2"/>
  <c r="H162" i="2"/>
  <c r="H161" i="2"/>
  <c r="H160" i="2"/>
  <c r="H159" i="2"/>
  <c r="H158" i="2"/>
  <c r="H157" i="2"/>
  <c r="H156" i="2"/>
  <c r="H155" i="2"/>
  <c r="H154" i="2"/>
  <c r="H153" i="2"/>
  <c r="H152" i="2"/>
  <c r="H151" i="2"/>
  <c r="H150" i="2"/>
  <c r="H149" i="2"/>
  <c r="H148" i="2"/>
  <c r="H147" i="2"/>
  <c r="H146" i="2"/>
  <c r="H145" i="2"/>
  <c r="H144" i="2"/>
  <c r="H143" i="2"/>
  <c r="H142" i="2"/>
  <c r="H141" i="2"/>
  <c r="H140" i="2"/>
  <c r="H139" i="2"/>
  <c r="H138" i="2"/>
  <c r="H137" i="2"/>
  <c r="H136" i="2"/>
  <c r="H135" i="2"/>
  <c r="H134" i="2"/>
  <c r="H133" i="2"/>
  <c r="H132" i="2"/>
  <c r="H131" i="2"/>
  <c r="H130" i="2"/>
  <c r="H129" i="2"/>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H89" i="2"/>
  <c r="H88" i="2"/>
  <c r="H87" i="2"/>
  <c r="H86" i="2"/>
  <c r="H85" i="2"/>
  <c r="H84" i="2"/>
  <c r="H83" i="2"/>
  <c r="H82" i="2"/>
  <c r="H81"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alcChain>
</file>

<file path=xl/sharedStrings.xml><?xml version="1.0" encoding="utf-8"?>
<sst xmlns="http://schemas.openxmlformats.org/spreadsheetml/2006/main" count="1308" uniqueCount="51">
  <si>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</si>
  <si>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</si>
  <si>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</si>
  <si>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</si>
  <si>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</si>
  <si>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</si>
  <si>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</si>
  <si>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</si>
  <si>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</si>
  <si>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</si>
  <si>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</si>
  <si>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</si>
  <si>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</si>
  <si>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</si>
  <si>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</si>
  <si>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</si>
  <si>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</si>
  <si>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</si>
  <si>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</si>
  <si>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</si>
  <si>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</si>
  <si>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</si>
  <si>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</si>
  <si>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</si>
  <si>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</si>
  <si>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</si>
  <si>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Sum of Amount</t>
  </si>
  <si>
    <t>2021</t>
  </si>
  <si>
    <t>Qtr1</t>
  </si>
  <si>
    <t>Jan</t>
  </si>
  <si>
    <t>Feb</t>
  </si>
  <si>
    <t>Mar</t>
  </si>
  <si>
    <t>Qtr2</t>
  </si>
  <si>
    <t>Apr</t>
  </si>
  <si>
    <t>May</t>
  </si>
  <si>
    <t>Jun</t>
  </si>
  <si>
    <t>Qtr3</t>
  </si>
  <si>
    <t>Jul</t>
  </si>
  <si>
    <t>Aug</t>
  </si>
  <si>
    <t>Sep</t>
  </si>
  <si>
    <t>Qtr4</t>
  </si>
  <si>
    <t>Oct</t>
  </si>
  <si>
    <t>Nov</t>
  </si>
  <si>
    <t>Dec</t>
  </si>
  <si>
    <t>2022</t>
  </si>
  <si>
    <t>Sum of Qty</t>
  </si>
  <si>
    <t>PT 11</t>
  </si>
  <si>
    <t>PT 16</t>
  </si>
  <si>
    <t>Top 3</t>
  </si>
  <si>
    <t>Bottom 3</t>
  </si>
  <si>
    <t>Count of Amount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</si>
</sst>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_ * #,##0_ ;_ * \-#,##0_ ;_ * &quot;-&quot;??_ ;_ @_ "/>
  </numFmts>
  <fonts count="5" x14ac:knownFonts="1">
    <font>
      <sz val="11"/>
      <color theme="1"/>
      <name val="Calibri"/>
      <family val="2"/>
      <scheme val="minor"/>
    </font>
    <font>
      <sz val="14"/>
      <name val="Calibri"/>
      <family val="2"/>
    </font>
    <font>
      <b/>
      <sz val="14"/>
      <color rgb="FF000000"/>
      <name val="Calibri"/>
      <family val="2"/>
    </font>
    <font>
      <sz val="14"/>
      <color rgb="FF000000"/>
      <name val="Calibri"/>
      <family val="2"/>
    </font>
    <font>
      <b/>
      <sz val="16"/>
      <color rgb="FF000000"/>
      <name val="Arial Black"/>
      <family val="2"/>
    </font>
  </fonts>
  <fills count="3">
    <fill>
      <patternFill patternType="none"/>
    </fill>
    <fill>
      <patternFill patternType="gray125"/>
    </fill>
    <fill>
      <patternFill patternType="solid">
        <fgColor rgb="FFFFFF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0" fontId="1" fillId="0" borderId="0">
      <alignment vertical="center"/>
    </xf>
  </cellStyleXfs>
  <cellXfs count="28">
    <xf numFmtId="0" fontId="0" fillId="0" borderId="0" xfId="0"/>
    <xf numFmtId="0" fontId="2" fillId="2" borderId="1" xfId="1" applyFont="1" applyFill="1" applyBorder="1" applyAlignment="1">
      <alignment horizontal="left"/>
    </xf>
    <xf numFmtId="0" fontId="2" fillId="2" borderId="1" xfId="1" applyFont="1" applyFill="1" applyBorder="1" applyAlignment="1">
      <alignment horizontal="center"/>
    </xf>
    <xf numFmtId="0" fontId="2" fillId="2" borderId="1" xfId="1" applyFont="1" applyFill="1" applyBorder="1" applyAlignment="1"/>
    <xf numFmtId="164" fontId="2" fillId="2" borderId="1" xfId="1" applyNumberFormat="1" applyFont="1" applyFill="1" applyBorder="1" applyAlignment="1"/>
    <xf numFmtId="0" fontId="1" fillId="0" borderId="0" xfId="1">
      <alignment vertical="center"/>
    </xf>
    <xf numFmtId="0" fontId="3" fillId="0" borderId="1" xfId="1" applyFont="1" applyBorder="1" applyAlignment="1">
      <alignment horizontal="left"/>
    </xf>
    <xf numFmtId="14" fontId="3" fillId="0" borderId="1" xfId="1" applyNumberFormat="1" applyFont="1" applyBorder="1" applyAlignment="1">
      <alignment horizontal="center"/>
    </xf>
    <xf numFmtId="0" fontId="3" fillId="0" borderId="1" xfId="1" applyFont="1" applyBorder="1" applyAlignment="1"/>
    <xf numFmtId="164" fontId="3" fillId="0" borderId="1" xfId="1" applyNumberFormat="1" applyFont="1" applyBorder="1" applyAlignment="1"/>
    <xf numFmtId="164" fontId="3" fillId="0" borderId="0" xfId="1" applyNumberFormat="1" applyFont="1" applyAlignment="1"/>
    <xf numFmtId="0" fontId="0" fillId="0" borderId="0" xfId="0" pivotButton="1"/>
    <xf numFmtId="0" fontId="0" fillId="0" borderId="0" xfId="0" applyAlignment="1">
      <alignment horizontal="left"/>
    </xf>
    <xf numFmtId="10" fontId="0" fillId="0" borderId="0" xfId="0" applyNumberFormat="1"/>
    <xf numFmtId="0" fontId="4" fillId="0" borderId="0" xfId="0" applyFont="1" applyAlignment="1">
      <alignment horizontal="left" vertical="center"/>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14" fontId="0" fillId="0" borderId="0" xfId="0" applyNumberFormat="1" applyAlignment="1">
      <alignment horizontal="left"/>
    </xf>
    <xf numFmtId="0" fontId="0" fillId="0" borderId="0" xfId="0" applyAlignment="1">
      <alignment horizontal="left" indent="1"/>
    </xf>
    <xf numFmtId="0" fontId="0" fillId="0" borderId="0" xfId="0" applyNumberFormat="1"/>
    <xf numFmtId="165" fontId="0" fillId="0" borderId="0" xfId="0" applyNumberFormat="1"/>
  </cellXfs>
  <cellStyles count="2">
    <cellStyle name="Normal" xfId="0" builtinId="0"/>
    <cellStyle name="Normal 2" xfId="1"/>
  </cellStyles>
  <dxfs count="13">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microsoft.com/office/2007/relationships/slicerCache" Target="slicerCaches/slicerCache8.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07/relationships/slicerCache" Target="slicerCaches/slicerCache7.xml"/><Relationship Id="rId25" Type="http://schemas.openxmlformats.org/officeDocument/2006/relationships/styles" Target="styles.xml"/><Relationship Id="rId2" Type="http://schemas.openxmlformats.org/officeDocument/2006/relationships/worksheet" Target="worksheets/sheet2.xml"/><Relationship Id="rId16" Type="http://schemas.microsoft.com/office/2007/relationships/slicerCache" Target="slicerCaches/slicerCache6.xml"/><Relationship Id="rId20" Type="http://schemas.microsoft.com/office/2007/relationships/slicerCache" Target="slicerCaches/slicerCache10.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5.xml"/><Relationship Id="rId23" Type="http://schemas.microsoft.com/office/2011/relationships/timelineCache" Target="timelineCaches/timelineCache3.xml"/><Relationship Id="rId10" Type="http://schemas.openxmlformats.org/officeDocument/2006/relationships/pivotCacheDefinition" Target="pivotCache/pivotCacheDefinition1.xml"/><Relationship Id="rId19" Type="http://schemas.microsoft.com/office/2007/relationships/slicerCache" Target="slicerCaches/slicerCache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microsoft.com/office/2011/relationships/timelineCache" Target="timelineCaches/timelineCache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Dashboard.xlsx]new-pivot!Pivotitems</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'new-pivot'!$B$3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'new-pivot'!$A$4:$A$10</c:f>
              <c:strCache>
                <c:ptCount val="6"/>
                <c:pt idx="0">
                  <c:v>Keyboard</c:v>
                </c:pt>
                <c:pt idx="1">
                  <c:v>Monitor</c:v>
                </c:pt>
                <c:pt idx="2">
                  <c:v>Mouse</c:v>
                </c:pt>
                <c:pt idx="3">
                  <c:v>Printer</c:v>
                </c:pt>
                <c:pt idx="4">
                  <c:v>Scanner</c:v>
                </c:pt>
                <c:pt idx="5">
                  <c:v>Speaker</c:v>
                </c:pt>
              </c:strCache>
            </c:strRef>
          </c:cat>
          <c:val>
            <c:numRef>
              <c:f>'new-pivot'!$B$4:$B$10</c:f>
              <c:numCache>
                <c:formatCode>General</c:formatCode>
                <c:ptCount val="6"/>
                <c:pt idx="0">
                  <c:v>132</c:v>
                </c:pt>
                <c:pt idx="1">
                  <c:v>251</c:v>
                </c:pt>
                <c:pt idx="2">
                  <c:v>319</c:v>
                </c:pt>
                <c:pt idx="3">
                  <c:v>445</c:v>
                </c:pt>
                <c:pt idx="4">
                  <c:v>242</c:v>
                </c:pt>
                <c:pt idx="5">
                  <c:v>218</c:v>
                </c:pt>
              </c:numCache>
            </c:numRef>
          </c:val>
        </c:ser>
        <c:dLbls>
          <c:dLblPos val="outEnd"/>
          <c:showLegendKey val="0"/>
          <c:showVal val="1"/>
          <c:showCatName val="0"/>
          <c:showSerName val="0"/>
          <c:showPercent val="0"/>
          <c:showBubbleSize val="0"/>
        </c:dLbls>
        <c:gapWidth val="219"/>
        <c:overlap val="-27"/>
        <c:axId val="1670889648"/>
        <c:axId val="1670891280"/>
      </c:barChart>
      <c:catAx>
        <c:axId val="167088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91280"/>
        <c:crosses val="autoZero"/>
        <c:auto val="1"/>
        <c:lblAlgn val="ctr"/>
        <c:lblOffset val="100"/>
        <c:noMultiLvlLbl val="0"/>
      </c:catAx>
      <c:valAx>
        <c:axId val="167089128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889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Dashboard.xlsx]new-pivot!Pivotmonths</c:name>
    <c:fmtId val="7"/>
  </c:pivotSource>
  <c:chart>
    <c:autoTitleDeleted val="1"/>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manualLayout>
          <c:layoutTarget val="inner"/>
          <c:xMode val="edge"/>
          <c:yMode val="edge"/>
          <c:x val="0.14699628880554519"/>
          <c:y val="8.6021505376344093E-2"/>
          <c:w val="0.82307852416203586"/>
          <c:h val="0.75485112748003269"/>
        </c:manualLayout>
      </c:layout>
      <c:lineChart>
        <c:grouping val="standard"/>
        <c:varyColors val="0"/>
        <c:ser>
          <c:idx val="0"/>
          <c:order val="0"/>
          <c:tx>
            <c:strRef>
              <c:f>'new-pivot'!$B$21</c:f>
              <c:strCache>
                <c:ptCount val="1"/>
                <c:pt idx="0">
                  <c:v>Total</c:v>
                </c:pt>
              </c:strCache>
            </c:strRef>
          </c:tx>
          <c:spPr>
            <a:ln w="28575" cap="rnd">
              <a:solidFill>
                <a:schemeClr val="accent1"/>
              </a:solidFill>
              <a:round/>
            </a:ln>
            <a:effectLst/>
          </c:spPr>
          <c:marker>
            <c:symbol val="none"/>
          </c:marker>
          <c:cat>
            <c:strRef>
              <c:f>'new-pivot'!$A$22:$A$34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'new-pivot'!$B$22:$B$34</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ser>
        <c:dLbls>
          <c:showLegendKey val="0"/>
          <c:showVal val="0"/>
          <c:showCatName val="0"/>
          <c:showSerName val="0"/>
          <c:showPercent val="0"/>
          <c:showBubbleSize val="0"/>
        </c:dLbls>
        <c:smooth val="0"/>
        <c:axId val="1683839520"/>
        <c:axId val="1683837344"/>
      </c:lineChart>
      <c:catAx>
        <c:axId val="1683839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837344"/>
        <c:crosses val="autoZero"/>
        <c:auto val="1"/>
        <c:lblAlgn val="ctr"/>
        <c:lblOffset val="100"/>
        <c:noMultiLvlLbl val="0"/>
      </c:catAx>
      <c:valAx>
        <c:axId val="16838373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8395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Dashboard.xlsx]new-pivot!PivotRegion</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'new-pivot'!$B$41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'new-pivot'!$A$42:$A$46</c:f>
              <c:strCache>
                <c:ptCount val="4"/>
                <c:pt idx="0">
                  <c:v>East</c:v>
                </c:pt>
                <c:pt idx="1">
                  <c:v>North</c:v>
                </c:pt>
                <c:pt idx="2">
                  <c:v>South</c:v>
                </c:pt>
                <c:pt idx="3">
                  <c:v>West</c:v>
                </c:pt>
              </c:strCache>
            </c:strRef>
          </c:cat>
          <c:val>
            <c:numRef>
              <c:f>'new-pivot'!$B$42:$B$46</c:f>
              <c:numCache>
                <c:formatCode>General</c:formatCode>
                <c:ptCount val="4"/>
                <c:pt idx="0">
                  <c:v>736080</c:v>
                </c:pt>
                <c:pt idx="1">
                  <c:v>203680</c:v>
                </c:pt>
                <c:pt idx="2">
                  <c:v>335480</c:v>
                </c:pt>
                <c:pt idx="3">
                  <c:v>507330</c:v>
                </c:pt>
              </c:numCache>
            </c:numRef>
          </c:val>
        </c:ser>
        <c:dLbls>
          <c:dLblPos val="outEnd"/>
          <c:showLegendKey val="0"/>
          <c:showVal val="1"/>
          <c:showCatName val="0"/>
          <c:showSerName val="0"/>
          <c:showPercent val="0"/>
          <c:showBubbleSize val="0"/>
        </c:dLbls>
        <c:gapWidth val="219"/>
        <c:overlap val="-27"/>
        <c:axId val="1683836800"/>
        <c:axId val="1683832992"/>
      </c:barChart>
      <c:catAx>
        <c:axId val="168383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832992"/>
        <c:crosses val="autoZero"/>
        <c:auto val="1"/>
        <c:lblAlgn val="ctr"/>
        <c:lblOffset val="100"/>
        <c:noMultiLvlLbl val="0"/>
      </c:catAx>
      <c:valAx>
        <c:axId val="16838329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3836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Table'!$C$45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Table'!$B$46:$B$52</c:f>
              <c:strCache>
                <c:ptCount val="6"/>
                <c:pt idx="0">
                  <c:v>Keyboard</c:v>
                </c:pt>
                <c:pt idx="1">
                  <c:v>Monitor</c:v>
                </c:pt>
                <c:pt idx="2">
                  <c:v>Mouse</c:v>
                </c:pt>
                <c:pt idx="3">
                  <c:v>Printer</c:v>
                </c:pt>
                <c:pt idx="4">
                  <c:v>Scanner</c:v>
                </c:pt>
                <c:pt idx="5">
                  <c:v>Speaker</c:v>
                </c:pt>
              </c:strCache>
            </c:strRef>
          </c:cat>
          <c:val>
            <c:numRef>
              <c:f>'Pivot Table'!$C$46:$C$52</c:f>
              <c:numCache>
                <c:formatCode>General</c:formatCode>
                <c:ptCount val="6"/>
                <c:pt idx="0">
                  <c:v>25320</c:v>
                </c:pt>
                <c:pt idx="1">
                  <c:v>339000</c:v>
                </c:pt>
                <c:pt idx="2">
                  <c:v>66150</c:v>
                </c:pt>
                <c:pt idx="3">
                  <c:v>934500</c:v>
                </c:pt>
                <c:pt idx="4">
                  <c:v>352200</c:v>
                </c:pt>
                <c:pt idx="5">
                  <c:v>65400</c:v>
                </c:pt>
              </c:numCache>
            </c:numRef>
          </c:val>
          <c:extLst xmlns:c16r2="http://schemas.microsoft.com/office/drawing/2015/06/chart">
            <c:ext xmlns:c16="http://schemas.microsoft.com/office/drawing/2014/chart" uri="{C3380CC4-5D6E-409C-BE32-E72D297353CC}">
              <c16:uniqueId val="{00000000-EAF5-4623-BDEB-A85BF9958DA7}"/>
            </c:ext>
          </c:extLst>
        </c:ser>
        <c:dLbls>
          <c:showLegendKey val="0"/>
          <c:showVal val="0"/>
          <c:showCatName val="0"/>
          <c:showSerName val="0"/>
          <c:showPercent val="0"/>
          <c:showBubbleSize val="0"/>
        </c:dLbls>
        <c:gapWidth val="182"/>
        <c:axId val="1697980656"/>
        <c:axId val="1697973040"/>
      </c:barChart>
      <c:catAx>
        <c:axId val="169798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73040"/>
        <c:crosses val="autoZero"/>
        <c:auto val="1"/>
        <c:lblAlgn val="ctr"/>
        <c:lblOffset val="100"/>
        <c:noMultiLvlLbl val="0"/>
      </c:catAx>
      <c:valAx>
        <c:axId val="1697973040"/>
        <c:scaling>
          <c:orientation val="minMax"/>
        </c:scaling>
        <c:delete val="1"/>
        <c:axPos val="b"/>
        <c:numFmt formatCode="General" sourceLinked="1"/>
        <c:majorTickMark val="none"/>
        <c:minorTickMark val="none"/>
        <c:tickLblPos val="nextTo"/>
        <c:crossAx val="169798065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Table!PivotTable8</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5.6048899927777486E-2"/>
          <c:y val="0.20371112938531041"/>
          <c:w val="0.76198624613264121"/>
          <c:h val="0.53774387576552929"/>
        </c:manualLayout>
      </c:layout>
      <c:barChart>
        <c:barDir val="col"/>
        <c:grouping val="clustered"/>
        <c:varyColors val="0"/>
        <c:ser>
          <c:idx val="0"/>
          <c:order val="0"/>
          <c:tx>
            <c:strRef>
              <c:f>'Pivot Table'!$F$47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Table'!$E$48:$E$52</c:f>
              <c:strCache>
                <c:ptCount val="4"/>
                <c:pt idx="0">
                  <c:v>East</c:v>
                </c:pt>
                <c:pt idx="1">
                  <c:v>North</c:v>
                </c:pt>
                <c:pt idx="2">
                  <c:v>South</c:v>
                </c:pt>
                <c:pt idx="3">
                  <c:v>West</c:v>
                </c:pt>
              </c:strCache>
            </c:strRef>
          </c:cat>
          <c:val>
            <c:numRef>
              <c:f>'Pivot Table'!$F$48:$F$52</c:f>
              <c:numCache>
                <c:formatCode>_ * #,##0_ ;_ * \-#,##0_ ;_ * "-"??_ ;_ @_ </c:formatCode>
                <c:ptCount val="4"/>
                <c:pt idx="0">
                  <c:v>736080</c:v>
                </c:pt>
                <c:pt idx="1">
                  <c:v>203680</c:v>
                </c:pt>
                <c:pt idx="2">
                  <c:v>335480</c:v>
                </c:pt>
                <c:pt idx="3">
                  <c:v>507330</c:v>
                </c:pt>
              </c:numCache>
            </c:numRef>
          </c:val>
          <c:extLst xmlns:c16r2="http://schemas.microsoft.com/office/drawing/2015/06/chart">
            <c:ext xmlns:c16="http://schemas.microsoft.com/office/drawing/2014/chart" uri="{C3380CC4-5D6E-409C-BE32-E72D297353CC}">
              <c16:uniqueId val="{00000000-4512-433C-BFAC-9FFE6C111CD4}"/>
            </c:ext>
          </c:extLst>
        </c:ser>
        <c:dLbls>
          <c:showLegendKey val="0"/>
          <c:showVal val="0"/>
          <c:showCatName val="0"/>
          <c:showSerName val="0"/>
          <c:showPercent val="0"/>
          <c:showBubbleSize val="0"/>
        </c:dLbls>
        <c:gapWidth val="219"/>
        <c:overlap val="-27"/>
        <c:axId val="1697974128"/>
        <c:axId val="1697976848"/>
      </c:barChart>
      <c:catAx>
        <c:axId val="1697974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76848"/>
        <c:crosses val="autoZero"/>
        <c:auto val="1"/>
        <c:lblAlgn val="ctr"/>
        <c:lblOffset val="100"/>
        <c:noMultiLvlLbl val="0"/>
      </c:catAx>
      <c:valAx>
        <c:axId val="1697976848"/>
        <c:scaling>
          <c:orientation val="minMax"/>
        </c:scaling>
        <c:delete val="1"/>
        <c:axPos val="l"/>
        <c:numFmt formatCode="_ * #,##0_ ;_ * \-#,##0_ ;_ * &quot;-&quot;??_ ;_ @_ " sourceLinked="1"/>
        <c:majorTickMark val="none"/>
        <c:minorTickMark val="none"/>
        <c:tickLblPos val="nextTo"/>
        <c:crossAx val="16979741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Table!PivotTable9</c:name>
    <c:fmtId val="0"/>
  </c:pivotSource>
  <c:chart>
    <c:autoTitleDeleted val="1"/>
    <c:pivotFmts>
      <c:pivotFmt>
        <c:idx val="0"/>
        <c:spPr>
          <a:ln w="28575" cap="rnd">
            <a:solidFill>
              <a:schemeClr val="accent1"/>
            </a:solidFill>
            <a:round/>
          </a:ln>
          <a:effectLst/>
        </c:spPr>
        <c:marker>
          <c:symbol val="none"/>
        </c:marker>
      </c:pivotFmt>
    </c:pivotFmts>
    <c:plotArea>
      <c:layout>
        <c:manualLayout>
          <c:layoutTarget val="inner"/>
          <c:xMode val="edge"/>
          <c:yMode val="edge"/>
          <c:x val="0.15169500038910233"/>
          <c:y val="9.5238095238095233E-2"/>
          <c:w val="0.80877220536112227"/>
          <c:h val="0.63811356913719119"/>
        </c:manualLayout>
      </c:layout>
      <c:lineChart>
        <c:grouping val="standard"/>
        <c:varyColors val="0"/>
        <c:ser>
          <c:idx val="0"/>
          <c:order val="0"/>
          <c:tx>
            <c:strRef>
              <c:f>'Pivot Table'!$E$54</c:f>
              <c:strCache>
                <c:ptCount val="1"/>
                <c:pt idx="0">
                  <c:v>Total</c:v>
                </c:pt>
              </c:strCache>
            </c:strRef>
          </c:tx>
          <c:spPr>
            <a:ln w="28575" cap="rnd">
              <a:solidFill>
                <a:schemeClr val="accent1"/>
              </a:solidFill>
              <a:round/>
            </a:ln>
            <a:effectLst/>
          </c:spPr>
          <c:marker>
            <c:symbol val="none"/>
          </c:marker>
          <c:cat>
            <c:strRef>
              <c:f>'Pivot Table'!$D$55:$D$67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Table'!$E$55:$E$67</c:f>
              <c:numCache>
                <c:formatCode>_ * #,##0_ ;_ * \-#,##0_ ;_ * "-"??_ ;_ @_ </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xmlns:c16r2="http://schemas.microsoft.com/office/drawing/2015/06/chart">
            <c:ext xmlns:c16="http://schemas.microsoft.com/office/drawing/2014/chart" uri="{C3380CC4-5D6E-409C-BE32-E72D297353CC}">
              <c16:uniqueId val="{00000000-58A6-4541-942B-716231B5D6DE}"/>
            </c:ext>
          </c:extLst>
        </c:ser>
        <c:dLbls>
          <c:showLegendKey val="0"/>
          <c:showVal val="0"/>
          <c:showCatName val="0"/>
          <c:showSerName val="0"/>
          <c:showPercent val="0"/>
          <c:showBubbleSize val="0"/>
        </c:dLbls>
        <c:smooth val="0"/>
        <c:axId val="1697978480"/>
        <c:axId val="1697982288"/>
      </c:lineChart>
      <c:catAx>
        <c:axId val="169797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82288"/>
        <c:crosses val="autoZero"/>
        <c:auto val="1"/>
        <c:lblAlgn val="ctr"/>
        <c:lblOffset val="100"/>
        <c:noMultiLvlLbl val="0"/>
      </c:catAx>
      <c:valAx>
        <c:axId val="1697982288"/>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7848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Table'!$D$77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Table'!$C$78:$C$84</c:f>
              <c:strCache>
                <c:ptCount val="6"/>
                <c:pt idx="0">
                  <c:v>Keyboard</c:v>
                </c:pt>
                <c:pt idx="1">
                  <c:v>Monitor</c:v>
                </c:pt>
                <c:pt idx="2">
                  <c:v>Mouse</c:v>
                </c:pt>
                <c:pt idx="3">
                  <c:v>Printer</c:v>
                </c:pt>
                <c:pt idx="4">
                  <c:v>Scanner</c:v>
                </c:pt>
                <c:pt idx="5">
                  <c:v>Speaker</c:v>
                </c:pt>
              </c:strCache>
            </c:strRef>
          </c:cat>
          <c:val>
            <c:numRef>
              <c:f>'Pivot Table'!$D$78:$D$84</c:f>
              <c:numCache>
                <c:formatCode>General</c:formatCode>
                <c:ptCount val="6"/>
                <c:pt idx="0">
                  <c:v>132</c:v>
                </c:pt>
                <c:pt idx="1">
                  <c:v>251</c:v>
                </c:pt>
                <c:pt idx="2">
                  <c:v>319</c:v>
                </c:pt>
                <c:pt idx="3">
                  <c:v>445</c:v>
                </c:pt>
                <c:pt idx="4">
                  <c:v>242</c:v>
                </c:pt>
                <c:pt idx="5">
                  <c:v>218</c:v>
                </c:pt>
              </c:numCache>
            </c:numRef>
          </c:val>
          <c:extLst xmlns:c16r2="http://schemas.microsoft.com/office/drawing/2015/06/chart">
            <c:ext xmlns:c16="http://schemas.microsoft.com/office/drawing/2014/chart" uri="{C3380CC4-5D6E-409C-BE32-E72D297353CC}">
              <c16:uniqueId val="{00000002-E82E-402F-A303-8A80A403CF3D}"/>
            </c:ext>
          </c:extLst>
        </c:ser>
        <c:dLbls>
          <c:showLegendKey val="0"/>
          <c:showVal val="0"/>
          <c:showCatName val="0"/>
          <c:showSerName val="0"/>
          <c:showPercent val="0"/>
          <c:showBubbleSize val="0"/>
        </c:dLbls>
        <c:gapWidth val="219"/>
        <c:overlap val="-27"/>
        <c:axId val="1697971952"/>
        <c:axId val="1697975760"/>
      </c:barChart>
      <c:catAx>
        <c:axId val="169797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75760"/>
        <c:crosses val="autoZero"/>
        <c:auto val="1"/>
        <c:lblAlgn val="ctr"/>
        <c:lblOffset val="100"/>
        <c:noMultiLvlLbl val="0"/>
      </c:catAx>
      <c:valAx>
        <c:axId val="1697975760"/>
        <c:scaling>
          <c:orientation val="minMax"/>
        </c:scaling>
        <c:delete val="1"/>
        <c:axPos val="l"/>
        <c:numFmt formatCode="General" sourceLinked="1"/>
        <c:majorTickMark val="none"/>
        <c:minorTickMark val="none"/>
        <c:tickLblPos val="nextTo"/>
        <c:crossAx val="16979719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Table'!$G$78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Table'!$F$79:$F$85</c:f>
              <c:strCache>
                <c:ptCount val="6"/>
                <c:pt idx="0">
                  <c:v>Printer</c:v>
                </c:pt>
                <c:pt idx="1">
                  <c:v>Mouse</c:v>
                </c:pt>
                <c:pt idx="2">
                  <c:v>Monitor</c:v>
                </c:pt>
                <c:pt idx="3">
                  <c:v>Scanner</c:v>
                </c:pt>
                <c:pt idx="4">
                  <c:v>Speaker</c:v>
                </c:pt>
                <c:pt idx="5">
                  <c:v>Keyboard</c:v>
                </c:pt>
              </c:strCache>
            </c:strRef>
          </c:cat>
          <c:val>
            <c:numRef>
              <c:f>'Pivot Table'!$G$79:$G$85</c:f>
              <c:numCache>
                <c:formatCode>General</c:formatCode>
                <c:ptCount val="6"/>
                <c:pt idx="0">
                  <c:v>445</c:v>
                </c:pt>
                <c:pt idx="1">
                  <c:v>319</c:v>
                </c:pt>
                <c:pt idx="2">
                  <c:v>251</c:v>
                </c:pt>
                <c:pt idx="3">
                  <c:v>242</c:v>
                </c:pt>
                <c:pt idx="4">
                  <c:v>218</c:v>
                </c:pt>
                <c:pt idx="5">
                  <c:v>132</c:v>
                </c:pt>
              </c:numCache>
            </c:numRef>
          </c:val>
          <c:extLst xmlns:c16r2="http://schemas.microsoft.com/office/drawing/2015/06/chart">
            <c:ext xmlns:c16="http://schemas.microsoft.com/office/drawing/2014/chart" uri="{C3380CC4-5D6E-409C-BE32-E72D297353CC}">
              <c16:uniqueId val="{00000003-84C0-4A67-9436-E65BCE8A7636}"/>
            </c:ext>
          </c:extLst>
        </c:ser>
        <c:dLbls>
          <c:showLegendKey val="0"/>
          <c:showVal val="0"/>
          <c:showCatName val="0"/>
          <c:showSerName val="0"/>
          <c:showPercent val="0"/>
          <c:showBubbleSize val="0"/>
        </c:dLbls>
        <c:gapWidth val="182"/>
        <c:axId val="1693913792"/>
        <c:axId val="1693906720"/>
      </c:barChart>
      <c:catAx>
        <c:axId val="169391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06720"/>
        <c:crosses val="autoZero"/>
        <c:auto val="1"/>
        <c:lblAlgn val="ctr"/>
        <c:lblOffset val="100"/>
        <c:noMultiLvlLbl val="0"/>
      </c:catAx>
      <c:valAx>
        <c:axId val="1693906720"/>
        <c:scaling>
          <c:orientation val="minMax"/>
        </c:scaling>
        <c:delete val="1"/>
        <c:axPos val="b"/>
        <c:numFmt formatCode="General" sourceLinked="1"/>
        <c:majorTickMark val="none"/>
        <c:minorTickMark val="none"/>
        <c:tickLblPos val="nextTo"/>
        <c:crossAx val="1693913792"/>
        <c:crosses val="autoZero"/>
        <c:crossBetween val="between"/>
      </c:valAx>
    </c:plotArea>
    <c:plotVisOnly val="1"/>
    <c:dispBlanksAs val="gap"/>
    <c:showDLblsOverMax val="0"/>
    <c:extLst xmlns:c16r2="http://schemas.microsoft.com/office/drawing/2015/06/chart"/>
  </c:chart>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manualLayout>
          <c:layoutTarget val="inner"/>
          <c:xMode val="edge"/>
          <c:yMode val="edge"/>
          <c:x val="0.14526550666180352"/>
          <c:y val="0.16906815249777923"/>
          <c:w val="0.79660551967788773"/>
          <c:h val="0.83093184750222071"/>
        </c:manualLayout>
      </c:layout>
      <c:barChart>
        <c:barDir val="bar"/>
        <c:grouping val="clustered"/>
        <c:varyColors val="0"/>
        <c:ser>
          <c:idx val="0"/>
          <c:order val="0"/>
          <c:tx>
            <c:strRef>
              <c:f>'Pivot Table'!$D$90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Table'!$C$91:$C$97</c:f>
              <c:strCache>
                <c:ptCount val="6"/>
                <c:pt idx="0">
                  <c:v>Keyboard</c:v>
                </c:pt>
                <c:pt idx="1">
                  <c:v>Speaker</c:v>
                </c:pt>
                <c:pt idx="2">
                  <c:v>Scanner</c:v>
                </c:pt>
                <c:pt idx="3">
                  <c:v>Monitor</c:v>
                </c:pt>
                <c:pt idx="4">
                  <c:v>Mouse</c:v>
                </c:pt>
                <c:pt idx="5">
                  <c:v>Printer</c:v>
                </c:pt>
              </c:strCache>
            </c:strRef>
          </c:cat>
          <c:val>
            <c:numRef>
              <c:f>'Pivot Table'!$D$91:$D$97</c:f>
              <c:numCache>
                <c:formatCode>General</c:formatCode>
                <c:ptCount val="6"/>
                <c:pt idx="0">
                  <c:v>132</c:v>
                </c:pt>
                <c:pt idx="1">
                  <c:v>218</c:v>
                </c:pt>
                <c:pt idx="2">
                  <c:v>242</c:v>
                </c:pt>
                <c:pt idx="3">
                  <c:v>251</c:v>
                </c:pt>
                <c:pt idx="4">
                  <c:v>319</c:v>
                </c:pt>
                <c:pt idx="5">
                  <c:v>445</c:v>
                </c:pt>
              </c:numCache>
            </c:numRef>
          </c:val>
          <c:extLst xmlns:c16r2="http://schemas.microsoft.com/office/drawing/2015/06/chart">
            <c:ext xmlns:c16="http://schemas.microsoft.com/office/drawing/2014/chart" uri="{C3380CC4-5D6E-409C-BE32-E72D297353CC}">
              <c16:uniqueId val="{00000000-156A-487B-B71E-DD1D54413273}"/>
            </c:ext>
          </c:extLst>
        </c:ser>
        <c:dLbls>
          <c:showLegendKey val="0"/>
          <c:showVal val="0"/>
          <c:showCatName val="0"/>
          <c:showSerName val="0"/>
          <c:showPercent val="0"/>
          <c:showBubbleSize val="0"/>
        </c:dLbls>
        <c:gapWidth val="182"/>
        <c:axId val="1693916512"/>
        <c:axId val="1693902912"/>
      </c:barChart>
      <c:catAx>
        <c:axId val="1693916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02912"/>
        <c:crosses val="autoZero"/>
        <c:auto val="1"/>
        <c:lblAlgn val="ctr"/>
        <c:lblOffset val="100"/>
        <c:noMultiLvlLbl val="0"/>
      </c:catAx>
      <c:valAx>
        <c:axId val="1693902912"/>
        <c:scaling>
          <c:orientation val="minMax"/>
        </c:scaling>
        <c:delete val="1"/>
        <c:axPos val="b"/>
        <c:numFmt formatCode="General" sourceLinked="1"/>
        <c:majorTickMark val="none"/>
        <c:minorTickMark val="none"/>
        <c:tickLblPos val="nextTo"/>
        <c:crossAx val="16939165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'Pivot Table'!$C$100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Table'!$B$101:$B$107</c:f>
              <c:strCache>
                <c:ptCount val="6"/>
                <c:pt idx="0">
                  <c:v>Ajit Kumar</c:v>
                </c:pt>
                <c:pt idx="1">
                  <c:v>Amit</c:v>
                </c:pt>
                <c:pt idx="2">
                  <c:v>Chandu</c:v>
                </c:pt>
                <c:pt idx="3">
                  <c:v>Ramesh</c:v>
                </c:pt>
                <c:pt idx="4">
                  <c:v>Rohit Das</c:v>
                </c:pt>
                <c:pt idx="5">
                  <c:v>Siddhu</c:v>
                </c:pt>
              </c:strCache>
            </c:strRef>
          </c:cat>
          <c:val>
            <c:numRef>
              <c:f>'Pivot Table'!$C$101:$C$107</c:f>
              <c:numCache>
                <c:formatCode>_ * #,##0_ ;_ * \-#,##0_ ;_ * "-"??_ ;_ @_ </c:formatCode>
                <c:ptCount val="6"/>
                <c:pt idx="0">
                  <c:v>82200</c:v>
                </c:pt>
                <c:pt idx="1">
                  <c:v>45000</c:v>
                </c:pt>
                <c:pt idx="2">
                  <c:v>19200</c:v>
                </c:pt>
                <c:pt idx="3">
                  <c:v>33900</c:v>
                </c:pt>
                <c:pt idx="4">
                  <c:v>61200</c:v>
                </c:pt>
                <c:pt idx="5">
                  <c:v>110700</c:v>
                </c:pt>
              </c:numCache>
            </c:numRef>
          </c:val>
          <c:extLst xmlns:c16r2="http://schemas.microsoft.com/office/drawing/2015/06/chart">
            <c:ext xmlns:c16="http://schemas.microsoft.com/office/drawing/2014/chart" uri="{C3380CC4-5D6E-409C-BE32-E72D297353CC}">
              <c16:uniqueId val="{00000000-3F9E-4B31-AA41-EA78A0EBA0CD}"/>
            </c:ext>
          </c:extLst>
        </c:ser>
        <c:dLbls>
          <c:showLegendKey val="0"/>
          <c:showVal val="0"/>
          <c:showCatName val="0"/>
          <c:showSerName val="0"/>
          <c:showPercent val="0"/>
          <c:showBubbleSize val="0"/>
        </c:dLbls>
        <c:gapWidth val="219"/>
        <c:overlap val="-27"/>
        <c:axId val="1693905088"/>
        <c:axId val="1693908352"/>
      </c:barChart>
      <c:catAx>
        <c:axId val="169390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908352"/>
        <c:crosses val="autoZero"/>
        <c:auto val="1"/>
        <c:lblAlgn val="ctr"/>
        <c:lblOffset val="100"/>
        <c:noMultiLvlLbl val="0"/>
      </c:catAx>
      <c:valAx>
        <c:axId val="1693908352"/>
        <c:scaling>
          <c:orientation val="minMax"/>
        </c:scaling>
        <c:delete val="1"/>
        <c:axPos val="l"/>
        <c:numFmt formatCode="_ * #,##0_ ;_ * \-#,##0_ ;_ * &quot;-&quot;??_ ;_ @_ " sourceLinked="1"/>
        <c:majorTickMark val="none"/>
        <c:minorTickMark val="none"/>
        <c:tickLblPos val="nextTo"/>
        <c:crossAx val="16939050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Table'!$D$118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Table'!$C$119:$C$122</c:f>
              <c:strCache>
                <c:ptCount val="3"/>
                <c:pt idx="0">
                  <c:v>Rohit Das</c:v>
                </c:pt>
                <c:pt idx="1">
                  <c:v>Ajit Kumar</c:v>
                </c:pt>
                <c:pt idx="2">
                  <c:v>Siddhu</c:v>
                </c:pt>
              </c:strCache>
            </c:strRef>
          </c:cat>
          <c:val>
            <c:numRef>
              <c:f>'Pivot Table'!$D$119:$D$122</c:f>
              <c:numCache>
                <c:formatCode>General</c:formatCode>
                <c:ptCount val="3"/>
                <c:pt idx="0">
                  <c:v>360</c:v>
                </c:pt>
                <c:pt idx="1">
                  <c:v>394</c:v>
                </c:pt>
                <c:pt idx="2">
                  <c:v>419</c:v>
                </c:pt>
              </c:numCache>
            </c:numRef>
          </c:val>
          <c:extLst xmlns:c16r2="http://schemas.microsoft.com/office/drawing/2015/06/chart">
            <c:ext xmlns:c16="http://schemas.microsoft.com/office/drawing/2014/chart" uri="{C3380CC4-5D6E-409C-BE32-E72D297353CC}">
              <c16:uniqueId val="{00000000-EEE5-4454-882F-C867BC58E840}"/>
            </c:ext>
          </c:extLst>
        </c:ser>
        <c:dLbls>
          <c:showLegendKey val="0"/>
          <c:showVal val="0"/>
          <c:showCatName val="0"/>
          <c:showSerName val="0"/>
          <c:showPercent val="0"/>
          <c:showBubbleSize val="0"/>
        </c:dLbls>
        <c:gapWidth val="182"/>
        <c:axId val="1697948064"/>
        <c:axId val="1697948608"/>
      </c:barChart>
      <c:catAx>
        <c:axId val="1697948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48608"/>
        <c:crosses val="autoZero"/>
        <c:auto val="1"/>
        <c:lblAlgn val="ctr"/>
        <c:lblOffset val="100"/>
        <c:noMultiLvlLbl val="0"/>
      </c:catAx>
      <c:valAx>
        <c:axId val="1697948608"/>
        <c:scaling>
          <c:orientation val="minMax"/>
        </c:scaling>
        <c:delete val="1"/>
        <c:axPos val="b"/>
        <c:numFmt formatCode="General" sourceLinked="1"/>
        <c:majorTickMark val="none"/>
        <c:minorTickMark val="none"/>
        <c:tickLblPos val="nextTo"/>
        <c:crossAx val="16979480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Table'!$M$113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Table'!$L$114:$L$117</c:f>
              <c:strCache>
                <c:ptCount val="3"/>
                <c:pt idx="0">
                  <c:v>Amit</c:v>
                </c:pt>
                <c:pt idx="1">
                  <c:v>Chandu</c:v>
                </c:pt>
                <c:pt idx="2">
                  <c:v>Ramesh</c:v>
                </c:pt>
              </c:strCache>
            </c:strRef>
          </c:cat>
          <c:val>
            <c:numRef>
              <c:f>'Pivot Table'!$M$114:$M$117</c:f>
              <c:numCache>
                <c:formatCode>General</c:formatCode>
                <c:ptCount val="3"/>
                <c:pt idx="0">
                  <c:v>146</c:v>
                </c:pt>
                <c:pt idx="1">
                  <c:v>144</c:v>
                </c:pt>
                <c:pt idx="2">
                  <c:v>144</c:v>
                </c:pt>
              </c:numCache>
            </c:numRef>
          </c:val>
          <c:extLst xmlns:c16r2="http://schemas.microsoft.com/office/drawing/2015/06/chart">
            <c:ext xmlns:c16="http://schemas.microsoft.com/office/drawing/2014/chart" uri="{C3380CC4-5D6E-409C-BE32-E72D297353CC}">
              <c16:uniqueId val="{00000000-E043-4793-AC0E-7A10C720C59C}"/>
            </c:ext>
          </c:extLst>
        </c:ser>
        <c:dLbls>
          <c:showLegendKey val="0"/>
          <c:showVal val="0"/>
          <c:showCatName val="0"/>
          <c:showSerName val="0"/>
          <c:showPercent val="0"/>
          <c:showBubbleSize val="0"/>
        </c:dLbls>
        <c:gapWidth val="182"/>
        <c:axId val="1901850704"/>
        <c:axId val="1901853968"/>
      </c:barChart>
      <c:catAx>
        <c:axId val="1901850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1853968"/>
        <c:crosses val="autoZero"/>
        <c:auto val="1"/>
        <c:lblAlgn val="ctr"/>
        <c:lblOffset val="100"/>
        <c:noMultiLvlLbl val="0"/>
      </c:catAx>
      <c:valAx>
        <c:axId val="1901853968"/>
        <c:scaling>
          <c:orientation val="minMax"/>
        </c:scaling>
        <c:delete val="1"/>
        <c:axPos val="b"/>
        <c:numFmt formatCode="General" sourceLinked="1"/>
        <c:majorTickMark val="none"/>
        <c:minorTickMark val="none"/>
        <c:tickLblPos val="nextTo"/>
        <c:crossAx val="190185070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Table!PivotTable16</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Table'!$J$71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Table'!$I$72:$I$78</c:f>
              <c:strCache>
                <c:ptCount val="6"/>
                <c:pt idx="0">
                  <c:v>Keyboard</c:v>
                </c:pt>
                <c:pt idx="1">
                  <c:v>Speaker</c:v>
                </c:pt>
                <c:pt idx="2">
                  <c:v>Scanner</c:v>
                </c:pt>
                <c:pt idx="3">
                  <c:v>Monitor</c:v>
                </c:pt>
                <c:pt idx="4">
                  <c:v>Mouse</c:v>
                </c:pt>
                <c:pt idx="5">
                  <c:v>Printer</c:v>
                </c:pt>
              </c:strCache>
            </c:strRef>
          </c:cat>
          <c:val>
            <c:numRef>
              <c:f>'Pivot Table'!$J$72:$J$78</c:f>
              <c:numCache>
                <c:formatCode>General</c:formatCode>
                <c:ptCount val="6"/>
                <c:pt idx="0">
                  <c:v>132</c:v>
                </c:pt>
                <c:pt idx="1">
                  <c:v>218</c:v>
                </c:pt>
                <c:pt idx="2">
                  <c:v>242</c:v>
                </c:pt>
                <c:pt idx="3">
                  <c:v>251</c:v>
                </c:pt>
                <c:pt idx="4">
                  <c:v>319</c:v>
                </c:pt>
                <c:pt idx="5">
                  <c:v>445</c:v>
                </c:pt>
              </c:numCache>
            </c:numRef>
          </c:val>
          <c:extLst xmlns:c16r2="http://schemas.microsoft.com/office/drawing/2015/06/chart">
            <c:ext xmlns:c16="http://schemas.microsoft.com/office/drawing/2014/chart" uri="{C3380CC4-5D6E-409C-BE32-E72D297353CC}">
              <c16:uniqueId val="{00000000-3593-4589-8529-5EAF7508A269}"/>
            </c:ext>
          </c:extLst>
        </c:ser>
        <c:dLbls>
          <c:showLegendKey val="0"/>
          <c:showVal val="0"/>
          <c:showCatName val="0"/>
          <c:showSerName val="0"/>
          <c:showPercent val="0"/>
          <c:showBubbleSize val="0"/>
        </c:dLbls>
        <c:gapWidth val="182"/>
        <c:axId val="1644039456"/>
        <c:axId val="1644042176"/>
      </c:barChart>
      <c:catAx>
        <c:axId val="16440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4042176"/>
        <c:crosses val="autoZero"/>
        <c:auto val="1"/>
        <c:lblAlgn val="ctr"/>
        <c:lblOffset val="100"/>
        <c:noMultiLvlLbl val="0"/>
      </c:catAx>
      <c:valAx>
        <c:axId val="1644042176"/>
        <c:scaling>
          <c:orientation val="minMax"/>
        </c:scaling>
        <c:delete val="1"/>
        <c:axPos val="b"/>
        <c:numFmt formatCode="General" sourceLinked="1"/>
        <c:majorTickMark val="none"/>
        <c:minorTickMark val="none"/>
        <c:tickLblPos val="nextTo"/>
        <c:crossAx val="1644039456"/>
        <c:crosses val="autoZero"/>
        <c:crossBetween val="between"/>
      </c:valAx>
      <c:spPr>
        <a:noFill/>
        <a:ln w="25400">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Table'!$F$142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Table'!$E$143:$E$146</c:f>
              <c:strCache>
                <c:ptCount val="3"/>
                <c:pt idx="0">
                  <c:v>Monitor</c:v>
                </c:pt>
                <c:pt idx="1">
                  <c:v>Mouse</c:v>
                </c:pt>
                <c:pt idx="2">
                  <c:v>Printer</c:v>
                </c:pt>
              </c:strCache>
            </c:strRef>
          </c:cat>
          <c:val>
            <c:numRef>
              <c:f>'Pivot Table'!$F$143:$F$146</c:f>
              <c:numCache>
                <c:formatCode>_ * #,##0_ ;_ * \-#,##0_ ;_ * "-"??_ ;_ @_ </c:formatCode>
                <c:ptCount val="3"/>
                <c:pt idx="0">
                  <c:v>251</c:v>
                </c:pt>
                <c:pt idx="1">
                  <c:v>319</c:v>
                </c:pt>
                <c:pt idx="2">
                  <c:v>445</c:v>
                </c:pt>
              </c:numCache>
            </c:numRef>
          </c:val>
          <c:extLst xmlns:c16r2="http://schemas.microsoft.com/office/drawing/2015/06/chart">
            <c:ext xmlns:c16="http://schemas.microsoft.com/office/drawing/2014/chart" uri="{C3380CC4-5D6E-409C-BE32-E72D297353CC}">
              <c16:uniqueId val="{00000001-7A8D-43D1-8E94-91F9249D8FBE}"/>
            </c:ext>
          </c:extLst>
        </c:ser>
        <c:dLbls>
          <c:showLegendKey val="0"/>
          <c:showVal val="0"/>
          <c:showCatName val="0"/>
          <c:showSerName val="0"/>
          <c:showPercent val="0"/>
          <c:showBubbleSize val="0"/>
        </c:dLbls>
        <c:gapWidth val="182"/>
        <c:axId val="1912365264"/>
        <c:axId val="1912363088"/>
      </c:barChart>
      <c:catAx>
        <c:axId val="19123652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3088"/>
        <c:crosses val="autoZero"/>
        <c:auto val="1"/>
        <c:lblAlgn val="ctr"/>
        <c:lblOffset val="100"/>
        <c:noMultiLvlLbl val="0"/>
      </c:catAx>
      <c:valAx>
        <c:axId val="1912363088"/>
        <c:scaling>
          <c:orientation val="minMax"/>
        </c:scaling>
        <c:delete val="1"/>
        <c:axPos val="b"/>
        <c:numFmt formatCode="_ * #,##0_ ;_ * \-#,##0_ ;_ * &quot;-&quot;??_ ;_ @_ " sourceLinked="1"/>
        <c:majorTickMark val="none"/>
        <c:minorTickMark val="none"/>
        <c:tickLblPos val="nextTo"/>
        <c:crossAx val="19123652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Table!PivotTable20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'Pivot Table'!$F$155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Table'!$E$156:$E$159</c:f>
              <c:strCache>
                <c:ptCount val="3"/>
                <c:pt idx="0">
                  <c:v>Scanner</c:v>
                </c:pt>
                <c:pt idx="1">
                  <c:v>Speaker</c:v>
                </c:pt>
                <c:pt idx="2">
                  <c:v>Keyboard</c:v>
                </c:pt>
              </c:strCache>
            </c:strRef>
          </c:cat>
          <c:val>
            <c:numRef>
              <c:f>'Pivot Table'!$F$156:$F$159</c:f>
              <c:numCache>
                <c:formatCode>_ * #,##0_ ;_ * \-#,##0_ ;_ * "-"??_ ;_ @_ </c:formatCode>
                <c:ptCount val="3"/>
                <c:pt idx="0">
                  <c:v>242</c:v>
                </c:pt>
                <c:pt idx="1">
                  <c:v>218</c:v>
                </c:pt>
                <c:pt idx="2">
                  <c:v>132</c:v>
                </c:pt>
              </c:numCache>
            </c:numRef>
          </c:val>
          <c:extLst xmlns:c16r2="http://schemas.microsoft.com/office/drawing/2015/06/chart">
            <c:ext xmlns:c16="http://schemas.microsoft.com/office/drawing/2014/chart" uri="{C3380CC4-5D6E-409C-BE32-E72D297353CC}">
              <c16:uniqueId val="{00000001-3A99-4AF6-A988-5A1A072337D6}"/>
            </c:ext>
          </c:extLst>
        </c:ser>
        <c:dLbls>
          <c:showLegendKey val="0"/>
          <c:showVal val="0"/>
          <c:showCatName val="0"/>
          <c:showSerName val="0"/>
          <c:showPercent val="0"/>
          <c:showBubbleSize val="0"/>
        </c:dLbls>
        <c:gapWidth val="182"/>
        <c:axId val="1912367440"/>
        <c:axId val="1912366352"/>
      </c:barChart>
      <c:catAx>
        <c:axId val="191236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6352"/>
        <c:crosses val="autoZero"/>
        <c:auto val="1"/>
        <c:lblAlgn val="ctr"/>
        <c:lblOffset val="100"/>
        <c:noMultiLvlLbl val="0"/>
      </c:catAx>
      <c:valAx>
        <c:axId val="1912366352"/>
        <c:scaling>
          <c:orientation val="minMax"/>
        </c:scaling>
        <c:delete val="1"/>
        <c:axPos val="b"/>
        <c:numFmt formatCode="_ * #,##0_ ;_ * \-#,##0_ ;_ * &quot;-&quot;??_ ;_ @_ " sourceLinked="1"/>
        <c:majorTickMark val="none"/>
        <c:minorTickMark val="none"/>
        <c:tickLblPos val="nextTo"/>
        <c:crossAx val="191236744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24896169587996902"/>
          <c:y val="8.5106446347943149E-2"/>
          <c:w val="0.68973562212769379"/>
          <c:h val="0.79196202003836114"/>
        </c:manualLayout>
      </c:layout>
      <c:barChart>
        <c:barDir val="bar"/>
        <c:grouping val="clustered"/>
        <c:varyColors val="0"/>
        <c:ser>
          <c:idx val="0"/>
          <c:order val="0"/>
          <c:tx>
            <c:strRef>
              <c:f>'Pivot Table'!$C$45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Table'!$B$46:$B$52</c:f>
              <c:strCache>
                <c:ptCount val="6"/>
                <c:pt idx="0">
                  <c:v>Keyboard</c:v>
                </c:pt>
                <c:pt idx="1">
                  <c:v>Monitor</c:v>
                </c:pt>
                <c:pt idx="2">
                  <c:v>Mouse</c:v>
                </c:pt>
                <c:pt idx="3">
                  <c:v>Printer</c:v>
                </c:pt>
                <c:pt idx="4">
                  <c:v>Scanner</c:v>
                </c:pt>
                <c:pt idx="5">
                  <c:v>Speaker</c:v>
                </c:pt>
              </c:strCache>
            </c:strRef>
          </c:cat>
          <c:val>
            <c:numRef>
              <c:f>'Pivot Table'!$C$46:$C$52</c:f>
              <c:numCache>
                <c:formatCode>General</c:formatCode>
                <c:ptCount val="6"/>
                <c:pt idx="0">
                  <c:v>25320</c:v>
                </c:pt>
                <c:pt idx="1">
                  <c:v>339000</c:v>
                </c:pt>
                <c:pt idx="2">
                  <c:v>66150</c:v>
                </c:pt>
                <c:pt idx="3">
                  <c:v>934500</c:v>
                </c:pt>
                <c:pt idx="4">
                  <c:v>352200</c:v>
                </c:pt>
                <c:pt idx="5">
                  <c:v>65400</c:v>
                </c:pt>
              </c:numCache>
            </c:numRef>
          </c:val>
          <c:extLst xmlns:c16r2="http://schemas.microsoft.com/office/drawing/2015/06/chart">
            <c:ext xmlns:c16="http://schemas.microsoft.com/office/drawing/2014/chart" uri="{C3380CC4-5D6E-409C-BE32-E72D297353CC}">
              <c16:uniqueId val="{00000000-4959-4F36-92A4-2C8FB6044AC8}"/>
            </c:ext>
          </c:extLst>
        </c:ser>
        <c:dLbls>
          <c:showLegendKey val="0"/>
          <c:showVal val="0"/>
          <c:showCatName val="0"/>
          <c:showSerName val="0"/>
          <c:showPercent val="0"/>
          <c:showBubbleSize val="0"/>
        </c:dLbls>
        <c:gapWidth val="182"/>
        <c:axId val="1912363632"/>
        <c:axId val="1912360368"/>
      </c:barChart>
      <c:catAx>
        <c:axId val="1912363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0368"/>
        <c:crosses val="autoZero"/>
        <c:auto val="1"/>
        <c:lblAlgn val="ctr"/>
        <c:lblOffset val="100"/>
        <c:noMultiLvlLbl val="0"/>
      </c:catAx>
      <c:valAx>
        <c:axId val="1912360368"/>
        <c:scaling>
          <c:orientation val="minMax"/>
        </c:scaling>
        <c:delete val="1"/>
        <c:axPos val="b"/>
        <c:numFmt formatCode="General" sourceLinked="1"/>
        <c:majorTickMark val="none"/>
        <c:minorTickMark val="none"/>
        <c:tickLblPos val="nextTo"/>
        <c:crossAx val="19123636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3658583513714173"/>
          <c:y val="0.20371103215943212"/>
          <c:w val="0.76198624613264121"/>
          <c:h val="0.53774387576552929"/>
        </c:manualLayout>
      </c:layout>
      <c:barChart>
        <c:barDir val="col"/>
        <c:grouping val="clustered"/>
        <c:varyColors val="0"/>
        <c:ser>
          <c:idx val="0"/>
          <c:order val="0"/>
          <c:tx>
            <c:strRef>
              <c:f>'Pivot Table'!$F$47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Table'!$E$48:$E$52</c:f>
              <c:strCache>
                <c:ptCount val="4"/>
                <c:pt idx="0">
                  <c:v>East</c:v>
                </c:pt>
                <c:pt idx="1">
                  <c:v>North</c:v>
                </c:pt>
                <c:pt idx="2">
                  <c:v>South</c:v>
                </c:pt>
                <c:pt idx="3">
                  <c:v>West</c:v>
                </c:pt>
              </c:strCache>
            </c:strRef>
          </c:cat>
          <c:val>
            <c:numRef>
              <c:f>'Pivot Table'!$F$48:$F$52</c:f>
              <c:numCache>
                <c:formatCode>_ * #,##0_ ;_ * \-#,##0_ ;_ * "-"??_ ;_ @_ </c:formatCode>
                <c:ptCount val="4"/>
                <c:pt idx="0">
                  <c:v>736080</c:v>
                </c:pt>
                <c:pt idx="1">
                  <c:v>203680</c:v>
                </c:pt>
                <c:pt idx="2">
                  <c:v>335480</c:v>
                </c:pt>
                <c:pt idx="3">
                  <c:v>507330</c:v>
                </c:pt>
              </c:numCache>
            </c:numRef>
          </c:val>
          <c:extLst xmlns:c16r2="http://schemas.microsoft.com/office/drawing/2015/06/chart">
            <c:ext xmlns:c16="http://schemas.microsoft.com/office/drawing/2014/chart" uri="{C3380CC4-5D6E-409C-BE32-E72D297353CC}">
              <c16:uniqueId val="{00000000-8A82-4159-8F7D-A63A66E23526}"/>
            </c:ext>
          </c:extLst>
        </c:ser>
        <c:dLbls>
          <c:showLegendKey val="0"/>
          <c:showVal val="0"/>
          <c:showCatName val="0"/>
          <c:showSerName val="0"/>
          <c:showPercent val="0"/>
          <c:showBubbleSize val="0"/>
        </c:dLbls>
        <c:gapWidth val="219"/>
        <c:overlap val="-27"/>
        <c:axId val="1912358192"/>
        <c:axId val="1912370704"/>
      </c:barChart>
      <c:catAx>
        <c:axId val="191235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70704"/>
        <c:crosses val="autoZero"/>
        <c:auto val="1"/>
        <c:lblAlgn val="ctr"/>
        <c:lblOffset val="100"/>
        <c:noMultiLvlLbl val="0"/>
      </c:catAx>
      <c:valAx>
        <c:axId val="1912370704"/>
        <c:scaling>
          <c:orientation val="minMax"/>
        </c:scaling>
        <c:delete val="1"/>
        <c:axPos val="l"/>
        <c:numFmt formatCode="_ * #,##0_ ;_ * \-#,##0_ ;_ * &quot;-&quot;??_ ;_ @_ " sourceLinked="1"/>
        <c:majorTickMark val="none"/>
        <c:minorTickMark val="none"/>
        <c:tickLblPos val="nextTo"/>
        <c:crossAx val="19123581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Table!PivotTable9</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manualLayout>
          <c:layoutTarget val="inner"/>
          <c:xMode val="edge"/>
          <c:yMode val="edge"/>
          <c:x val="0.15169500038910233"/>
          <c:y val="9.5238095238095233E-2"/>
          <c:w val="0.80877220536112227"/>
          <c:h val="0.63811356913719119"/>
        </c:manualLayout>
      </c:layout>
      <c:lineChart>
        <c:grouping val="standard"/>
        <c:varyColors val="0"/>
        <c:ser>
          <c:idx val="0"/>
          <c:order val="0"/>
          <c:tx>
            <c:strRef>
              <c:f>'Pivot Table'!$E$54</c:f>
              <c:strCache>
                <c:ptCount val="1"/>
                <c:pt idx="0">
                  <c:v>Total</c:v>
                </c:pt>
              </c:strCache>
            </c:strRef>
          </c:tx>
          <c:spPr>
            <a:ln w="28575" cap="rnd">
              <a:solidFill>
                <a:schemeClr val="accent1"/>
              </a:solidFill>
              <a:round/>
            </a:ln>
            <a:effectLst/>
          </c:spPr>
          <c:marker>
            <c:symbol val="none"/>
          </c:marker>
          <c:cat>
            <c:strRef>
              <c:f>'Pivot Table'!$D$55:$D$67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Table'!$E$55:$E$67</c:f>
              <c:numCache>
                <c:formatCode>_ * #,##0_ ;_ * \-#,##0_ ;_ * "-"??_ ;_ @_ </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xmlns:c16r2="http://schemas.microsoft.com/office/drawing/2015/06/chart">
            <c:ext xmlns:c16="http://schemas.microsoft.com/office/drawing/2014/chart" uri="{C3380CC4-5D6E-409C-BE32-E72D297353CC}">
              <c16:uniqueId val="{00000000-7BAA-449B-A2F9-92B9AEFB0F27}"/>
            </c:ext>
          </c:extLst>
        </c:ser>
        <c:dLbls>
          <c:showLegendKey val="0"/>
          <c:showVal val="0"/>
          <c:showCatName val="0"/>
          <c:showSerName val="0"/>
          <c:showPercent val="0"/>
          <c:showBubbleSize val="0"/>
        </c:dLbls>
        <c:smooth val="0"/>
        <c:axId val="1912368528"/>
        <c:axId val="1912369616"/>
      </c:lineChart>
      <c:catAx>
        <c:axId val="191236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9616"/>
        <c:crosses val="autoZero"/>
        <c:auto val="1"/>
        <c:lblAlgn val="ctr"/>
        <c:lblOffset val="100"/>
        <c:noMultiLvlLbl val="0"/>
      </c:catAx>
      <c:valAx>
        <c:axId val="1912369616"/>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85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4.5977011494252873E-2"/>
          <c:y val="8.2296540076722019E-2"/>
          <c:w val="0.90804597701149425"/>
          <c:h val="0.78831155854821766"/>
        </c:manualLayout>
      </c:layout>
      <c:barChart>
        <c:barDir val="col"/>
        <c:grouping val="clustered"/>
        <c:varyColors val="0"/>
        <c:ser>
          <c:idx val="0"/>
          <c:order val="0"/>
          <c:tx>
            <c:strRef>
              <c:f>'Pivot Table'!$D$77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Table'!$C$78:$C$84</c:f>
              <c:strCache>
                <c:ptCount val="6"/>
                <c:pt idx="0">
                  <c:v>Keyboard</c:v>
                </c:pt>
                <c:pt idx="1">
                  <c:v>Monitor</c:v>
                </c:pt>
                <c:pt idx="2">
                  <c:v>Mouse</c:v>
                </c:pt>
                <c:pt idx="3">
                  <c:v>Printer</c:v>
                </c:pt>
                <c:pt idx="4">
                  <c:v>Scanner</c:v>
                </c:pt>
                <c:pt idx="5">
                  <c:v>Speaker</c:v>
                </c:pt>
              </c:strCache>
            </c:strRef>
          </c:cat>
          <c:val>
            <c:numRef>
              <c:f>'Pivot Table'!$D$78:$D$84</c:f>
              <c:numCache>
                <c:formatCode>General</c:formatCode>
                <c:ptCount val="6"/>
                <c:pt idx="0">
                  <c:v>132</c:v>
                </c:pt>
                <c:pt idx="1">
                  <c:v>251</c:v>
                </c:pt>
                <c:pt idx="2">
                  <c:v>319</c:v>
                </c:pt>
                <c:pt idx="3">
                  <c:v>445</c:v>
                </c:pt>
                <c:pt idx="4">
                  <c:v>242</c:v>
                </c:pt>
                <c:pt idx="5">
                  <c:v>218</c:v>
                </c:pt>
              </c:numCache>
            </c:numRef>
          </c:val>
          <c:extLst xmlns:c16r2="http://schemas.microsoft.com/office/drawing/2015/06/chart">
            <c:ext xmlns:c16="http://schemas.microsoft.com/office/drawing/2014/chart" uri="{C3380CC4-5D6E-409C-BE32-E72D297353CC}">
              <c16:uniqueId val="{00000000-7463-4665-B409-77404BF0BD06}"/>
            </c:ext>
          </c:extLst>
        </c:ser>
        <c:dLbls>
          <c:showLegendKey val="0"/>
          <c:showVal val="0"/>
          <c:showCatName val="0"/>
          <c:showSerName val="0"/>
          <c:showPercent val="0"/>
          <c:showBubbleSize val="0"/>
        </c:dLbls>
        <c:gapWidth val="219"/>
        <c:overlap val="-27"/>
        <c:axId val="1912360912"/>
        <c:axId val="1912369072"/>
      </c:barChart>
      <c:catAx>
        <c:axId val="191236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69072"/>
        <c:crosses val="autoZero"/>
        <c:auto val="1"/>
        <c:lblAlgn val="ctr"/>
        <c:lblOffset val="100"/>
        <c:noMultiLvlLbl val="0"/>
      </c:catAx>
      <c:valAx>
        <c:axId val="1912369072"/>
        <c:scaling>
          <c:orientation val="minMax"/>
        </c:scaling>
        <c:delete val="1"/>
        <c:axPos val="l"/>
        <c:numFmt formatCode="General" sourceLinked="1"/>
        <c:majorTickMark val="none"/>
        <c:minorTickMark val="none"/>
        <c:tickLblPos val="nextTo"/>
        <c:crossAx val="191236091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Table!PivotTable20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Table'!$F$155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Table'!$E$156:$E$159</c:f>
              <c:strCache>
                <c:ptCount val="3"/>
                <c:pt idx="0">
                  <c:v>Scanner</c:v>
                </c:pt>
                <c:pt idx="1">
                  <c:v>Speaker</c:v>
                </c:pt>
                <c:pt idx="2">
                  <c:v>Keyboard</c:v>
                </c:pt>
              </c:strCache>
            </c:strRef>
          </c:cat>
          <c:val>
            <c:numRef>
              <c:f>'Pivot Table'!$F$156:$F$159</c:f>
              <c:numCache>
                <c:formatCode>_ * #,##0_ ;_ * \-#,##0_ ;_ * "-"??_ ;_ @_ </c:formatCode>
                <c:ptCount val="3"/>
                <c:pt idx="0">
                  <c:v>242</c:v>
                </c:pt>
                <c:pt idx="1">
                  <c:v>218</c:v>
                </c:pt>
                <c:pt idx="2">
                  <c:v>132</c:v>
                </c:pt>
              </c:numCache>
            </c:numRef>
          </c:val>
          <c:extLst xmlns:c16r2="http://schemas.microsoft.com/office/drawing/2015/06/chart">
            <c:ext xmlns:c16="http://schemas.microsoft.com/office/drawing/2014/chart" uri="{C3380CC4-5D6E-409C-BE32-E72D297353CC}">
              <c16:uniqueId val="{00000000-E3E6-46EC-B5AA-4FCE7213D7F0}"/>
            </c:ext>
          </c:extLst>
        </c:ser>
        <c:dLbls>
          <c:showLegendKey val="0"/>
          <c:showVal val="0"/>
          <c:showCatName val="0"/>
          <c:showSerName val="0"/>
          <c:showPercent val="0"/>
          <c:showBubbleSize val="0"/>
        </c:dLbls>
        <c:gapWidth val="182"/>
        <c:axId val="1912371792"/>
        <c:axId val="1912358736"/>
      </c:barChart>
      <c:catAx>
        <c:axId val="191237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358736"/>
        <c:crosses val="autoZero"/>
        <c:auto val="1"/>
        <c:lblAlgn val="ctr"/>
        <c:lblOffset val="100"/>
        <c:noMultiLvlLbl val="0"/>
      </c:catAx>
      <c:valAx>
        <c:axId val="1912358736"/>
        <c:scaling>
          <c:orientation val="minMax"/>
        </c:scaling>
        <c:delete val="1"/>
        <c:axPos val="b"/>
        <c:numFmt formatCode="_ * #,##0_ ;_ * \-#,##0_ ;_ * &quot;-&quot;??_ ;_ @_ " sourceLinked="1"/>
        <c:majorTickMark val="none"/>
        <c:minorTickMark val="none"/>
        <c:tickLblPos val="nextTo"/>
        <c:crossAx val="19123717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barChart>
        <c:barDir val="bar"/>
        <c:grouping val="clustered"/>
        <c:varyColors val="0"/>
        <c:ser>
          <c:idx val="0"/>
          <c:order val="0"/>
          <c:tx>
            <c:strRef>
              <c:f>'Pivot Table'!$F$142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Table'!$E$143:$E$146</c:f>
              <c:strCache>
                <c:ptCount val="3"/>
                <c:pt idx="0">
                  <c:v>Monitor</c:v>
                </c:pt>
                <c:pt idx="1">
                  <c:v>Mouse</c:v>
                </c:pt>
                <c:pt idx="2">
                  <c:v>Printer</c:v>
                </c:pt>
              </c:strCache>
            </c:strRef>
          </c:cat>
          <c:val>
            <c:numRef>
              <c:f>'Pivot Table'!$F$143:$F$146</c:f>
              <c:numCache>
                <c:formatCode>_ * #,##0_ ;_ * \-#,##0_ ;_ * "-"??_ ;_ @_ </c:formatCode>
                <c:ptCount val="3"/>
                <c:pt idx="0">
                  <c:v>251</c:v>
                </c:pt>
                <c:pt idx="1">
                  <c:v>319</c:v>
                </c:pt>
                <c:pt idx="2">
                  <c:v>445</c:v>
                </c:pt>
              </c:numCache>
            </c:numRef>
          </c:val>
          <c:extLst xmlns:c16r2="http://schemas.microsoft.com/office/drawing/2015/06/chart">
            <c:ext xmlns:c16="http://schemas.microsoft.com/office/drawing/2014/chart" uri="{C3380CC4-5D6E-409C-BE32-E72D297353CC}">
              <c16:uniqueId val="{00000000-784F-4B8F-929B-AEA4109C05F4}"/>
            </c:ext>
          </c:extLst>
        </c:ser>
        <c:dLbls>
          <c:showLegendKey val="0"/>
          <c:showVal val="0"/>
          <c:showCatName val="0"/>
          <c:showSerName val="0"/>
          <c:showPercent val="0"/>
          <c:showBubbleSize val="0"/>
        </c:dLbls>
        <c:gapWidth val="182"/>
        <c:axId val="1913864464"/>
        <c:axId val="1913860656"/>
      </c:barChart>
      <c:catAx>
        <c:axId val="191386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60656"/>
        <c:crosses val="autoZero"/>
        <c:auto val="1"/>
        <c:lblAlgn val="ctr"/>
        <c:lblOffset val="100"/>
        <c:noMultiLvlLbl val="0"/>
      </c:catAx>
      <c:valAx>
        <c:axId val="1913860656"/>
        <c:scaling>
          <c:orientation val="minMax"/>
        </c:scaling>
        <c:delete val="1"/>
        <c:axPos val="b"/>
        <c:numFmt formatCode="_ * #,##0_ ;_ * \-#,##0_ ;_ * &quot;-&quot;??_ ;_ @_ " sourceLinked="1"/>
        <c:majorTickMark val="none"/>
        <c:minorTickMark val="none"/>
        <c:tickLblPos val="nextTo"/>
        <c:crossAx val="19138644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4.8404840484048403E-2"/>
          <c:y val="0.10689473870268505"/>
          <c:w val="0.90319031903190317"/>
          <c:h val="0.67800947968354663"/>
        </c:manualLayout>
      </c:layout>
      <c:barChart>
        <c:barDir val="col"/>
        <c:grouping val="clustered"/>
        <c:varyColors val="0"/>
        <c:ser>
          <c:idx val="0"/>
          <c:order val="0"/>
          <c:tx>
            <c:strRef>
              <c:f>'Pivot Table'!$C$100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Table'!$B$101:$B$107</c:f>
              <c:strCache>
                <c:ptCount val="6"/>
                <c:pt idx="0">
                  <c:v>Ajit Kumar</c:v>
                </c:pt>
                <c:pt idx="1">
                  <c:v>Amit</c:v>
                </c:pt>
                <c:pt idx="2">
                  <c:v>Chandu</c:v>
                </c:pt>
                <c:pt idx="3">
                  <c:v>Ramesh</c:v>
                </c:pt>
                <c:pt idx="4">
                  <c:v>Rohit Das</c:v>
                </c:pt>
                <c:pt idx="5">
                  <c:v>Siddhu</c:v>
                </c:pt>
              </c:strCache>
            </c:strRef>
          </c:cat>
          <c:val>
            <c:numRef>
              <c:f>'Pivot Table'!$C$101:$C$107</c:f>
              <c:numCache>
                <c:formatCode>_ * #,##0_ ;_ * \-#,##0_ ;_ * "-"??_ ;_ @_ </c:formatCode>
                <c:ptCount val="6"/>
                <c:pt idx="0">
                  <c:v>82200</c:v>
                </c:pt>
                <c:pt idx="1">
                  <c:v>45000</c:v>
                </c:pt>
                <c:pt idx="2">
                  <c:v>19200</c:v>
                </c:pt>
                <c:pt idx="3">
                  <c:v>33900</c:v>
                </c:pt>
                <c:pt idx="4">
                  <c:v>61200</c:v>
                </c:pt>
                <c:pt idx="5">
                  <c:v>110700</c:v>
                </c:pt>
              </c:numCache>
            </c:numRef>
          </c:val>
          <c:extLst xmlns:c16r2="http://schemas.microsoft.com/office/drawing/2015/06/chart">
            <c:ext xmlns:c16="http://schemas.microsoft.com/office/drawing/2014/chart" uri="{C3380CC4-5D6E-409C-BE32-E72D297353CC}">
              <c16:uniqueId val="{00000000-7D14-4A16-8C12-8D1EF51D2DEC}"/>
            </c:ext>
          </c:extLst>
        </c:ser>
        <c:dLbls>
          <c:showLegendKey val="0"/>
          <c:showVal val="0"/>
          <c:showCatName val="0"/>
          <c:showSerName val="0"/>
          <c:showPercent val="0"/>
          <c:showBubbleSize val="0"/>
        </c:dLbls>
        <c:gapWidth val="219"/>
        <c:overlap val="-27"/>
        <c:axId val="1913852496"/>
        <c:axId val="1913854128"/>
      </c:barChart>
      <c:catAx>
        <c:axId val="191385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54128"/>
        <c:crosses val="autoZero"/>
        <c:auto val="1"/>
        <c:lblAlgn val="ctr"/>
        <c:lblOffset val="100"/>
        <c:noMultiLvlLbl val="0"/>
      </c:catAx>
      <c:valAx>
        <c:axId val="1913854128"/>
        <c:scaling>
          <c:orientation val="minMax"/>
        </c:scaling>
        <c:delete val="1"/>
        <c:axPos val="l"/>
        <c:numFmt formatCode="_ * #,##0_ ;_ * \-#,##0_ ;_ * &quot;-&quot;??_ ;_ @_ " sourceLinked="1"/>
        <c:majorTickMark val="none"/>
        <c:minorTickMark val="none"/>
        <c:tickLblPos val="nextTo"/>
        <c:crossAx val="191385249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16967443403660321"/>
          <c:y val="7.2787153146569306E-2"/>
          <c:w val="0.76411036656535303"/>
          <c:h val="0.85442518267190748"/>
        </c:manualLayout>
      </c:layout>
      <c:barChart>
        <c:barDir val="bar"/>
        <c:grouping val="clustered"/>
        <c:varyColors val="0"/>
        <c:ser>
          <c:idx val="0"/>
          <c:order val="0"/>
          <c:tx>
            <c:strRef>
              <c:f>'Pivot Table'!$D$118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Table'!$C$119:$C$122</c:f>
              <c:strCache>
                <c:ptCount val="3"/>
                <c:pt idx="0">
                  <c:v>Rohit Das</c:v>
                </c:pt>
                <c:pt idx="1">
                  <c:v>Ajit Kumar</c:v>
                </c:pt>
                <c:pt idx="2">
                  <c:v>Siddhu</c:v>
                </c:pt>
              </c:strCache>
            </c:strRef>
          </c:cat>
          <c:val>
            <c:numRef>
              <c:f>'Pivot Table'!$D$119:$D$122</c:f>
              <c:numCache>
                <c:formatCode>General</c:formatCode>
                <c:ptCount val="3"/>
                <c:pt idx="0">
                  <c:v>360</c:v>
                </c:pt>
                <c:pt idx="1">
                  <c:v>394</c:v>
                </c:pt>
                <c:pt idx="2">
                  <c:v>419</c:v>
                </c:pt>
              </c:numCache>
            </c:numRef>
          </c:val>
          <c:extLst xmlns:c16r2="http://schemas.microsoft.com/office/drawing/2015/06/chart">
            <c:ext xmlns:c16="http://schemas.microsoft.com/office/drawing/2014/chart" uri="{C3380CC4-5D6E-409C-BE32-E72D297353CC}">
              <c16:uniqueId val="{00000000-33FC-4658-A782-4D2BB3A8516A}"/>
            </c:ext>
          </c:extLst>
        </c:ser>
        <c:dLbls>
          <c:showLegendKey val="0"/>
          <c:showVal val="0"/>
          <c:showCatName val="0"/>
          <c:showSerName val="0"/>
          <c:showPercent val="0"/>
          <c:showBubbleSize val="0"/>
        </c:dLbls>
        <c:gapWidth val="182"/>
        <c:axId val="1913857392"/>
        <c:axId val="1913857936"/>
      </c:barChart>
      <c:catAx>
        <c:axId val="1913857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57936"/>
        <c:crosses val="autoZero"/>
        <c:auto val="1"/>
        <c:lblAlgn val="ctr"/>
        <c:lblOffset val="100"/>
        <c:noMultiLvlLbl val="0"/>
      </c:catAx>
      <c:valAx>
        <c:axId val="1913857936"/>
        <c:scaling>
          <c:orientation val="minMax"/>
        </c:scaling>
        <c:delete val="1"/>
        <c:axPos val="b"/>
        <c:numFmt formatCode="General" sourceLinked="1"/>
        <c:majorTickMark val="none"/>
        <c:minorTickMark val="none"/>
        <c:tickLblPos val="nextTo"/>
        <c:crossAx val="191385739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Dashboard.xlsx]Pivot Table!PivotTable18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s>
    <c:plotArea>
      <c:layout>
        <c:manualLayout>
          <c:layoutTarget val="inner"/>
          <c:xMode val="edge"/>
          <c:yMode val="edge"/>
          <c:x val="0.2228176256124981"/>
          <c:y val="0.10526315789473684"/>
          <c:w val="0.74987862012129025"/>
          <c:h val="0.80701754385964908"/>
        </c:manualLayout>
      </c:layout>
      <c:barChart>
        <c:barDir val="bar"/>
        <c:grouping val="clustered"/>
        <c:varyColors val="0"/>
        <c:ser>
          <c:idx val="0"/>
          <c:order val="0"/>
          <c:tx>
            <c:strRef>
              <c:f>'Pivot Table'!$M$113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Table'!$L$114:$L$117</c:f>
              <c:strCache>
                <c:ptCount val="3"/>
                <c:pt idx="0">
                  <c:v>Amit</c:v>
                </c:pt>
                <c:pt idx="1">
                  <c:v>Chandu</c:v>
                </c:pt>
                <c:pt idx="2">
                  <c:v>Ramesh</c:v>
                </c:pt>
              </c:strCache>
            </c:strRef>
          </c:cat>
          <c:val>
            <c:numRef>
              <c:f>'Pivot Table'!$M$114:$M$117</c:f>
              <c:numCache>
                <c:formatCode>General</c:formatCode>
                <c:ptCount val="3"/>
                <c:pt idx="0">
                  <c:v>146</c:v>
                </c:pt>
                <c:pt idx="1">
                  <c:v>144</c:v>
                </c:pt>
                <c:pt idx="2">
                  <c:v>144</c:v>
                </c:pt>
              </c:numCache>
            </c:numRef>
          </c:val>
          <c:extLst xmlns:c16r2="http://schemas.microsoft.com/office/drawing/2015/06/chart">
            <c:ext xmlns:c16="http://schemas.microsoft.com/office/drawing/2014/chart" uri="{C3380CC4-5D6E-409C-BE32-E72D297353CC}">
              <c16:uniqueId val="{00000000-CDF9-4FD5-8536-F92626E6B6F6}"/>
            </c:ext>
          </c:extLst>
        </c:ser>
        <c:dLbls>
          <c:showLegendKey val="0"/>
          <c:showVal val="0"/>
          <c:showCatName val="0"/>
          <c:showSerName val="0"/>
          <c:showPercent val="0"/>
          <c:showBubbleSize val="0"/>
        </c:dLbls>
        <c:gapWidth val="182"/>
        <c:axId val="1913867728"/>
        <c:axId val="1913854672"/>
      </c:barChart>
      <c:catAx>
        <c:axId val="191386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854672"/>
        <c:crosses val="autoZero"/>
        <c:auto val="1"/>
        <c:lblAlgn val="ctr"/>
        <c:lblOffset val="100"/>
        <c:noMultiLvlLbl val="0"/>
      </c:catAx>
      <c:valAx>
        <c:axId val="1913854672"/>
        <c:scaling>
          <c:orientation val="minMax"/>
        </c:scaling>
        <c:delete val="1"/>
        <c:axPos val="b"/>
        <c:numFmt formatCode="General" sourceLinked="1"/>
        <c:majorTickMark val="none"/>
        <c:minorTickMark val="none"/>
        <c:tickLblPos val="nextTo"/>
        <c:crossAx val="191386772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sVisible val="1"/>
      </c14:pivotOptions>
    </c:ext>
  </c:extLst>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Dashboard.xlsx]new-pivot!Pivotitems</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'new-pivot'!$B$3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'new-pivot'!$A$4:$A$10</c:f>
              <c:strCache>
                <c:ptCount val="6"/>
                <c:pt idx="0">
                  <c:v>Keyboard</c:v>
                </c:pt>
                <c:pt idx="1">
                  <c:v>Monitor</c:v>
                </c:pt>
                <c:pt idx="2">
                  <c:v>Mouse</c:v>
                </c:pt>
                <c:pt idx="3">
                  <c:v>Printer</c:v>
                </c:pt>
                <c:pt idx="4">
                  <c:v>Scanner</c:v>
                </c:pt>
                <c:pt idx="5">
                  <c:v>Speaker</c:v>
                </c:pt>
              </c:strCache>
            </c:strRef>
          </c:cat>
          <c:val>
            <c:numRef>
              <c:f>'new-pivot'!$B$4:$B$10</c:f>
              <c:numCache>
                <c:formatCode>General</c:formatCode>
                <c:ptCount val="6"/>
                <c:pt idx="0">
                  <c:v>132</c:v>
                </c:pt>
                <c:pt idx="1">
                  <c:v>251</c:v>
                </c:pt>
                <c:pt idx="2">
                  <c:v>319</c:v>
                </c:pt>
                <c:pt idx="3">
                  <c:v>445</c:v>
                </c:pt>
                <c:pt idx="4">
                  <c:v>242</c:v>
                </c:pt>
                <c:pt idx="5">
                  <c:v>218</c:v>
                </c:pt>
              </c:numCache>
            </c:numRef>
          </c:val>
        </c:ser>
        <c:dLbls>
          <c:dLblPos val="outEnd"/>
          <c:showLegendKey val="0"/>
          <c:showVal val="1"/>
          <c:showCatName val="0"/>
          <c:showSerName val="0"/>
          <c:showPercent val="0"/>
          <c:showBubbleSize val="0"/>
        </c:dLbls>
        <c:gapWidth val="182"/>
        <c:axId val="1684657424"/>
        <c:axId val="1697946432"/>
      </c:barChart>
      <c:catAx>
        <c:axId val="16846574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7946432"/>
        <c:crosses val="autoZero"/>
        <c:auto val="1"/>
        <c:lblAlgn val="ctr"/>
        <c:lblOffset val="100"/>
        <c:noMultiLvlLbl val="0"/>
      </c:catAx>
      <c:valAx>
        <c:axId val="1697946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4657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Dashboard.xlsx]new-pivot!Pivotmonths</c:name>
    <c:fmtId val="4"/>
  </c:pivotSource>
  <c:chart>
    <c:autoTitleDeleted val="1"/>
    <c:pivotFmts>
      <c:pivotFmt>
        <c:idx val="0"/>
        <c:spPr>
          <a:solidFill>
            <a:schemeClr val="accent1"/>
          </a:solidFill>
          <a:ln w="28575" cap="rnd">
            <a:solidFill>
              <a:schemeClr val="accent1"/>
            </a:solidFill>
            <a:round/>
          </a:ln>
          <a:effectLst/>
        </c:spPr>
      </c:pivotFmt>
      <c:pivotFmt>
        <c:idx val="1"/>
        <c:spPr>
          <a:solidFill>
            <a:schemeClr val="accent1"/>
          </a:solidFill>
          <a:ln w="28575" cap="rnd">
            <a:solidFill>
              <a:schemeClr val="accent1"/>
            </a:solidFill>
            <a:round/>
          </a:ln>
          <a:effectLst/>
        </c:spPr>
      </c:pivotFmt>
      <c:pivotFmt>
        <c:idx val="2"/>
        <c:spPr>
          <a:ln w="28575" cap="rnd">
            <a:solidFill>
              <a:schemeClr val="accent1"/>
            </a:solidFill>
            <a:round/>
          </a:ln>
          <a:effectLst/>
        </c:spPr>
        <c:marker>
          <c:symbol val="none"/>
        </c:marker>
      </c:pivotFmt>
    </c:pivotFmts>
    <c:plotArea>
      <c:layout>
        <c:manualLayout>
          <c:layoutTarget val="inner"/>
          <c:xMode val="edge"/>
          <c:yMode val="edge"/>
          <c:x val="0.14699628880554519"/>
          <c:y val="8.6021505376344093E-2"/>
          <c:w val="0.82307852416203586"/>
          <c:h val="0.75485112748003269"/>
        </c:manualLayout>
      </c:layout>
      <c:lineChart>
        <c:grouping val="standard"/>
        <c:varyColors val="0"/>
        <c:ser>
          <c:idx val="0"/>
          <c:order val="0"/>
          <c:tx>
            <c:strRef>
              <c:f>'new-pivot'!$B$21</c:f>
              <c:strCache>
                <c:ptCount val="1"/>
                <c:pt idx="0">
                  <c:v>Total</c:v>
                </c:pt>
              </c:strCache>
            </c:strRef>
          </c:tx>
          <c:spPr>
            <a:ln w="28575" cap="rnd">
              <a:solidFill>
                <a:schemeClr val="accent1"/>
              </a:solidFill>
              <a:round/>
            </a:ln>
            <a:effectLst/>
          </c:spPr>
          <c:marker>
            <c:symbol val="none"/>
          </c:marker>
          <c:cat>
            <c:strRef>
              <c:f>'new-pivot'!$A$22:$A$34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'new-pivot'!$B$22:$B$34</c:f>
              <c:numCache>
                <c:formatCode>General</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ser>
        <c:dLbls>
          <c:showLegendKey val="0"/>
          <c:showVal val="0"/>
          <c:showCatName val="0"/>
          <c:showSerName val="0"/>
          <c:showPercent val="0"/>
          <c:showBubbleSize val="0"/>
        </c:dLbls>
        <c:smooth val="0"/>
        <c:axId val="1675966320"/>
        <c:axId val="1675963600"/>
      </c:lineChart>
      <c:catAx>
        <c:axId val="1675966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963600"/>
        <c:crosses val="autoZero"/>
        <c:auto val="1"/>
        <c:lblAlgn val="ctr"/>
        <c:lblOffset val="100"/>
        <c:noMultiLvlLbl val="0"/>
      </c:catAx>
      <c:valAx>
        <c:axId val="16759636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966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Lst>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[Divya Dashboard.xlsx]new-pivot!PivotRegion</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'new-pivot'!$B$41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'new-pivot'!$A$42:$A$46</c:f>
              <c:strCache>
                <c:ptCount val="4"/>
                <c:pt idx="0">
                  <c:v>East</c:v>
                </c:pt>
                <c:pt idx="1">
                  <c:v>North</c:v>
                </c:pt>
                <c:pt idx="2">
                  <c:v>South</c:v>
                </c:pt>
                <c:pt idx="3">
                  <c:v>West</c:v>
                </c:pt>
              </c:strCache>
            </c:strRef>
          </c:cat>
          <c:val>
            <c:numRef>
              <c:f>'new-pivot'!$B$42:$B$46</c:f>
              <c:numCache>
                <c:formatCode>General</c:formatCode>
                <c:ptCount val="4"/>
                <c:pt idx="0">
                  <c:v>736080</c:v>
                </c:pt>
                <c:pt idx="1">
                  <c:v>203680</c:v>
                </c:pt>
                <c:pt idx="2">
                  <c:v>335480</c:v>
                </c:pt>
                <c:pt idx="3">
                  <c:v>507330</c:v>
                </c:pt>
              </c:numCache>
            </c:numRef>
          </c:val>
        </c:ser>
        <c:dLbls>
          <c:dLblPos val="outEnd"/>
          <c:showLegendKey val="0"/>
          <c:showVal val="1"/>
          <c:showCatName val="0"/>
          <c:showSerName val="0"/>
          <c:showPercent val="0"/>
          <c:showBubbleSize val="0"/>
        </c:dLbls>
        <c:gapWidth val="219"/>
        <c:overlap val="-27"/>
        <c:axId val="1675959248"/>
        <c:axId val="1675967408"/>
      </c:barChart>
      <c:catAx>
        <c:axId val="167595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967408"/>
        <c:crosses val="autoZero"/>
        <c:auto val="1"/>
        <c:lblAlgn val="ctr"/>
        <c:lblOffset val="100"/>
        <c:noMultiLvlLbl val="0"/>
      </c:catAx>
      <c:valAx>
        <c:axId val="16759674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9592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6.svg"/><Relationship Id="rId3" Type="http://schemas.openxmlformats.org/officeDocument/2006/relationships/hyperlink" Target="#Salesman!A1"/><Relationship Id="rId7" Type="http://schemas.openxmlformats.org/officeDocument/2006/relationships/chart" Target="../charts/chart16.xml"/><Relationship Id="rId12" Type="http://schemas.openxmlformats.org/officeDocument/2006/relationships/image" Target="../media/image3.png"/><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2.svg"/><Relationship Id="rId11" Type="http://schemas.openxmlformats.org/officeDocument/2006/relationships/image" Target="../media/image4.svg"/><Relationship Id="rId5" Type="http://schemas.openxmlformats.org/officeDocument/2006/relationships/image" Target="../media/image1.png"/><Relationship Id="rId10" Type="http://schemas.openxmlformats.org/officeDocument/2006/relationships/image" Target="../media/image2.png"/><Relationship Id="rId4" Type="http://schemas.openxmlformats.org/officeDocument/2006/relationships/hyperlink" Target="#'About Us'!A1"/><Relationship Id="rId9" Type="http://schemas.openxmlformats.org/officeDocument/2006/relationships/chart" Target="../charts/chart18.xml"/></Relationships>
</file>

<file path=xl/drawings/_rels/drawing6.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hyperlink" Target="#Salesman!A1"/><Relationship Id="rId7" Type="http://schemas.openxmlformats.org/officeDocument/2006/relationships/chart" Target="../charts/chart19.xml"/><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 Us'!A1"/><Relationship Id="rId9" Type="http://schemas.openxmlformats.org/officeDocument/2006/relationships/chart" Target="../charts/chart21.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3.xml"/><Relationship Id="rId3" Type="http://schemas.openxmlformats.org/officeDocument/2006/relationships/hyperlink" Target="#Salesman!A1"/><Relationship Id="rId7" Type="http://schemas.openxmlformats.org/officeDocument/2006/relationships/chart" Target="../charts/chart22.xml"/><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 Us'!A1"/><Relationship Id="rId9"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4.png"/><Relationship Id="rId4" Type="http://schemas.openxmlformats.org/officeDocument/2006/relationships/hyperlink" Target="#'About Us'!A1"/></Relationships>
</file>

<file path=xl/drawings/_rels/drawing9.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85726</xdr:colOff>
      <xdr:row>0</xdr:row>
      <xdr:rowOff>165100</xdr:rowOff>
    </xdr:from>
    <xdr:to>
      <xdr:col>26</xdr:col>
      <xdr:colOff>457200</xdr:colOff>
      <xdr:row>31</xdr:row>
      <xdr:rowOff>165099</xdr:rowOff>
    </xdr:to>
    <xdr:sp macro="" textlink="">
      <xdr:nvSpPr>
        <xdr:cNvPr id="2" name="Rounded Rectangle 1"/>
        <xdr:cNvSpPr/>
      </xdr:nvSpPr>
      <xdr:spPr>
        <a:xfrm>
          <a:off x="85726" y="165100"/>
          <a:ext cx="16221074" cy="59054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304800</xdr:colOff>
      <xdr:row>1</xdr:row>
      <xdr:rowOff>31749</xdr:rowOff>
    </xdr:from>
    <xdr:to>
      <xdr:col>26</xdr:col>
      <xdr:colOff>393700</xdr:colOff>
      <xdr:row>31</xdr:row>
      <xdr:rowOff>114300</xdr:rowOff>
    </xdr:to>
    <xdr:sp macro="" textlink="'new-prod'!$B$53">
      <xdr:nvSpPr>
        <xdr:cNvPr id="3" name="Rounded Rectangle 2"/>
        <xdr:cNvSpPr/>
      </xdr:nvSpPr>
      <xdr:spPr>
        <a:xfrm>
          <a:off x="2743200" y="222249"/>
          <a:ext cx="13500100" cy="579755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C242927-DC43-40DD-96C7-8E6084B5226B}" type="TxLink">
            <a:rPr lang="en-US" sz="1100" b="0" i="0" u="none" strike="noStrike">
              <a:solidFill>
                <a:srgbClr val="000000"/>
              </a:solidFill>
              <a:latin typeface="Calibri"/>
              <a:cs typeface="Calibri"/>
            </a:rPr>
            <a:t> </a:t>
          </a:fld>
          <a:endParaRPr lang="en-IN" sz="1100"/>
        </a:p>
      </xdr:txBody>
    </xdr:sp>
    <xdr:clientData/>
  </xdr:twoCellAnchor>
  <xdr:twoCellAnchor>
    <xdr:from>
      <xdr:col>0</xdr:col>
      <xdr:colOff>596900</xdr:colOff>
      <xdr:row>7</xdr:row>
      <xdr:rowOff>57150</xdr:rowOff>
    </xdr:from>
    <xdr:to>
      <xdr:col>4</xdr:col>
      <xdr:colOff>0</xdr:colOff>
      <xdr:row>10</xdr:row>
      <xdr:rowOff>95250</xdr:rowOff>
    </xdr:to>
    <xdr:sp macro="" textlink="">
      <xdr:nvSpPr>
        <xdr:cNvPr id="4" name="Rounded Rectangle 3"/>
        <xdr:cNvSpPr/>
      </xdr:nvSpPr>
      <xdr:spPr>
        <a:xfrm>
          <a:off x="596900" y="1390650"/>
          <a:ext cx="1841500" cy="609600"/>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rPr>
            <a:t>Dashboard</a:t>
          </a:r>
        </a:p>
      </xdr:txBody>
    </xdr:sp>
    <xdr:clientData/>
  </xdr:twoCellAnchor>
  <xdr:twoCellAnchor>
    <xdr:from>
      <xdr:col>0</xdr:col>
      <xdr:colOff>600074</xdr:colOff>
      <xdr:row>12</xdr:row>
      <xdr:rowOff>85724</xdr:rowOff>
    </xdr:from>
    <xdr:to>
      <xdr:col>4</xdr:col>
      <xdr:colOff>25400</xdr:colOff>
      <xdr:row>16</xdr:row>
      <xdr:rowOff>12699</xdr:rowOff>
    </xdr:to>
    <xdr:sp macro="" textlink="">
      <xdr:nvSpPr>
        <xdr:cNvPr id="5" name="Rounded Rectangle 4"/>
        <xdr:cNvSpPr/>
      </xdr:nvSpPr>
      <xdr:spPr>
        <a:xfrm>
          <a:off x="600074" y="2371724"/>
          <a:ext cx="1863726" cy="688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Products</a:t>
          </a:r>
        </a:p>
      </xdr:txBody>
    </xdr:sp>
    <xdr:clientData/>
  </xdr:twoCellAnchor>
  <xdr:twoCellAnchor>
    <xdr:from>
      <xdr:col>0</xdr:col>
      <xdr:colOff>596900</xdr:colOff>
      <xdr:row>17</xdr:row>
      <xdr:rowOff>101600</xdr:rowOff>
    </xdr:from>
    <xdr:to>
      <xdr:col>4</xdr:col>
      <xdr:colOff>50800</xdr:colOff>
      <xdr:row>21</xdr:row>
      <xdr:rowOff>25400</xdr:rowOff>
    </xdr:to>
    <xdr:sp macro="" textlink="">
      <xdr:nvSpPr>
        <xdr:cNvPr id="6" name="Rounded Rectangle 5"/>
        <xdr:cNvSpPr/>
      </xdr:nvSpPr>
      <xdr:spPr>
        <a:xfrm>
          <a:off x="596900" y="3340100"/>
          <a:ext cx="1892300" cy="685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Salesman</a:t>
          </a:r>
        </a:p>
      </xdr:txBody>
    </xdr:sp>
    <xdr:clientData/>
  </xdr:twoCellAnchor>
  <xdr:twoCellAnchor>
    <xdr:from>
      <xdr:col>0</xdr:col>
      <xdr:colOff>574674</xdr:colOff>
      <xdr:row>22</xdr:row>
      <xdr:rowOff>171450</xdr:rowOff>
    </xdr:from>
    <xdr:to>
      <xdr:col>4</xdr:col>
      <xdr:colOff>63500</xdr:colOff>
      <xdr:row>26</xdr:row>
      <xdr:rowOff>19050</xdr:rowOff>
    </xdr:to>
    <xdr:sp macro="" textlink="">
      <xdr:nvSpPr>
        <xdr:cNvPr id="7" name="Rounded Rectangle 6"/>
        <xdr:cNvSpPr/>
      </xdr:nvSpPr>
      <xdr:spPr>
        <a:xfrm>
          <a:off x="574674" y="4362450"/>
          <a:ext cx="1927226"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About</a:t>
          </a:r>
          <a:r>
            <a:rPr lang="en-IN" sz="1800" baseline="0"/>
            <a:t> us</a:t>
          </a:r>
          <a:endParaRPr lang="en-IN" sz="1800"/>
        </a:p>
      </xdr:txBody>
    </xdr:sp>
    <xdr:clientData/>
  </xdr:twoCellAnchor>
  <xdr:twoCellAnchor>
    <xdr:from>
      <xdr:col>5</xdr:col>
      <xdr:colOff>114300</xdr:colOff>
      <xdr:row>18</xdr:row>
      <xdr:rowOff>139700</xdr:rowOff>
    </xdr:from>
    <xdr:to>
      <xdr:col>11</xdr:col>
      <xdr:colOff>596900</xdr:colOff>
      <xdr:row>30</xdr:row>
      <xdr:rowOff>88900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101600</xdr:colOff>
      <xdr:row>18</xdr:row>
      <xdr:rowOff>123826</xdr:rowOff>
    </xdr:from>
    <xdr:to>
      <xdr:col>19</xdr:col>
      <xdr:colOff>12700</xdr:colOff>
      <xdr:row>30</xdr:row>
      <xdr:rowOff>88900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101600</xdr:colOff>
      <xdr:row>18</xdr:row>
      <xdr:rowOff>127000</xdr:rowOff>
    </xdr:from>
    <xdr:to>
      <xdr:col>25</xdr:col>
      <xdr:colOff>571500</xdr:colOff>
      <xdr:row>30</xdr:row>
      <xdr:rowOff>88899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600075</xdr:colOff>
      <xdr:row>19</xdr:row>
      <xdr:rowOff>142875</xdr:rowOff>
    </xdr:from>
    <xdr:to>
      <xdr:col>23</xdr:col>
      <xdr:colOff>457200</xdr:colOff>
      <xdr:row>21</xdr:row>
      <xdr:rowOff>9525</xdr:rowOff>
    </xdr:to>
    <xdr:sp macro="" textlink="">
      <xdr:nvSpPr>
        <xdr:cNvPr id="11" name="Rectangle 10"/>
        <xdr:cNvSpPr/>
      </xdr:nvSpPr>
      <xdr:spPr>
        <a:xfrm>
          <a:off x="13401675" y="3762375"/>
          <a:ext cx="107632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Sales by</a:t>
          </a:r>
          <a:r>
            <a:rPr lang="en-IN" sz="1100" baseline="0">
              <a:solidFill>
                <a:schemeClr val="tx1"/>
              </a:solidFill>
            </a:rPr>
            <a:t> region</a:t>
          </a:r>
          <a:endParaRPr lang="en-IN" sz="1100">
            <a:solidFill>
              <a:schemeClr val="tx1"/>
            </a:solidFill>
          </a:endParaRPr>
        </a:p>
      </xdr:txBody>
    </xdr:sp>
    <xdr:clientData/>
  </xdr:twoCellAnchor>
  <xdr:twoCellAnchor>
    <xdr:from>
      <xdr:col>8</xdr:col>
      <xdr:colOff>22224</xdr:colOff>
      <xdr:row>14</xdr:row>
      <xdr:rowOff>139700</xdr:rowOff>
    </xdr:from>
    <xdr:to>
      <xdr:col>11</xdr:col>
      <xdr:colOff>571499</xdr:colOff>
      <xdr:row>18</xdr:row>
      <xdr:rowOff>57150</xdr:rowOff>
    </xdr:to>
    <xdr:sp macro="" textlink="">
      <xdr:nvSpPr>
        <xdr:cNvPr id="12" name="Rounded Rectangle 11"/>
        <xdr:cNvSpPr/>
      </xdr:nvSpPr>
      <xdr:spPr>
        <a:xfrm>
          <a:off x="4899024" y="2806700"/>
          <a:ext cx="2378075" cy="6794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279401</xdr:colOff>
      <xdr:row>14</xdr:row>
      <xdr:rowOff>139700</xdr:rowOff>
    </xdr:from>
    <xdr:to>
      <xdr:col>11</xdr:col>
      <xdr:colOff>571501</xdr:colOff>
      <xdr:row>18</xdr:row>
      <xdr:rowOff>63499</xdr:rowOff>
    </xdr:to>
    <xdr:sp macro="" textlink="">
      <xdr:nvSpPr>
        <xdr:cNvPr id="13" name="Rounded Rectangle 12"/>
        <xdr:cNvSpPr/>
      </xdr:nvSpPr>
      <xdr:spPr>
        <a:xfrm>
          <a:off x="5156201" y="2806700"/>
          <a:ext cx="2120900" cy="6857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Total Amount</a:t>
          </a:r>
        </a:p>
        <a:p>
          <a:pPr algn="l"/>
          <a:endParaRPr lang="en-IN" sz="1800" b="1"/>
        </a:p>
      </xdr:txBody>
    </xdr:sp>
    <xdr:clientData/>
  </xdr:twoCellAnchor>
  <xdr:twoCellAnchor>
    <xdr:from>
      <xdr:col>9</xdr:col>
      <xdr:colOff>304800</xdr:colOff>
      <xdr:row>16</xdr:row>
      <xdr:rowOff>101600</xdr:rowOff>
    </xdr:from>
    <xdr:to>
      <xdr:col>11</xdr:col>
      <xdr:colOff>317500</xdr:colOff>
      <xdr:row>17</xdr:row>
      <xdr:rowOff>190499</xdr:rowOff>
    </xdr:to>
    <xdr:sp macro="" textlink="'new-pivot'!B53">
      <xdr:nvSpPr>
        <xdr:cNvPr id="14" name="Rounded Rectangle 13"/>
        <xdr:cNvSpPr/>
      </xdr:nvSpPr>
      <xdr:spPr>
        <a:xfrm>
          <a:off x="5791200" y="3149600"/>
          <a:ext cx="1231900" cy="279399"/>
        </a:xfrm>
        <a:prstGeom prst="roundRect">
          <a:avLst/>
        </a:prstGeom>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t"/>
        <a:lstStyle/>
        <a:p>
          <a:pPr algn="l"/>
          <a:fld id="{B8457F78-C3E8-4F63-B888-FC3E4F4BFBB9}" type="TxLink">
            <a:rPr lang="en-US" sz="1600" b="0" i="0" u="none" strike="noStrike">
              <a:solidFill>
                <a:srgbClr val="000000"/>
              </a:solidFill>
              <a:latin typeface="Calibri"/>
              <a:cs typeface="Calibri"/>
            </a:rPr>
            <a:t>1782570</a:t>
          </a:fld>
          <a:endParaRPr lang="en-IN" sz="1600"/>
        </a:p>
      </xdr:txBody>
    </xdr:sp>
    <xdr:clientData/>
  </xdr:twoCellAnchor>
  <xdr:twoCellAnchor editAs="oneCell">
    <xdr:from>
      <xdr:col>19</xdr:col>
      <xdr:colOff>600074</xdr:colOff>
      <xdr:row>2</xdr:row>
      <xdr:rowOff>130174</xdr:rowOff>
    </xdr:from>
    <xdr:to>
      <xdr:col>26</xdr:col>
      <xdr:colOff>38100</xdr:colOff>
      <xdr:row>8</xdr:row>
      <xdr:rowOff>165099</xdr:rowOff>
    </xdr:to>
    <mc:AlternateContent xmlns:mc="http://schemas.openxmlformats.org/markup-compatibility/2006">
      <mc:Choice xmlns:a14="http://schemas.microsoft.com/office/drawing/2010/main" Requires="a14">
        <xdr:graphicFrame macro="">
          <xdr:nvGraphicFramePr>
            <xdr:cNvPr id="15" name="Region 6"/>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dr:sp macro="" textlink="">
          <xdr:nvSpPr>
            <xdr:cNvPr id="0" name=""/>
            <xdr:cNvSpPr>
              <a:spLocks noTextEdit="1"/>
            </xdr:cNvSpPr>
          </xdr:nvSpPr>
          <xdr:spPr>
            <a:xfrm>
              <a:off x="12182474" y="511174"/>
              <a:ext cx="3705226" cy="1177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393466</xdr:colOff>
      <xdr:row>9</xdr:row>
      <xdr:rowOff>50800</xdr:rowOff>
    </xdr:from>
    <xdr:to>
      <xdr:col>26</xdr:col>
      <xdr:colOff>304800</xdr:colOff>
      <xdr:row>14</xdr:row>
      <xdr:rowOff>126999</xdr:rowOff>
    </xdr:to>
    <mc:AlternateContent xmlns:mc="http://schemas.openxmlformats.org/markup-compatibility/2006">
      <mc:Choice xmlns:a14="http://schemas.microsoft.com/office/drawing/2010/main" Requires="a14">
        <xdr:graphicFrame macro="">
          <xdr:nvGraphicFramePr>
            <xdr:cNvPr id="16" name="Item 9"/>
            <xdr:cNvGraphicFramePr/>
          </xdr:nvGraphicFramePr>
          <xdr:xfrm>
            <a:off x="0" y="0"/>
            <a:ext cx="0" cy="0"/>
          </xdr:xfrm>
          <a:graphic>
            <a:graphicData uri="http://schemas.microsoft.com/office/drawing/2010/slicer">
              <sle:slicer xmlns:sle="http://schemas.microsoft.com/office/drawing/2010/slicer" name="Item 9"/>
            </a:graphicData>
          </a:graphic>
        </xdr:graphicFrame>
      </mc:Choice>
      <mc:Fallback>
        <xdr:sp macro="" textlink="">
          <xdr:nvSpPr>
            <xdr:cNvPr id="0" name=""/>
            <xdr:cNvSpPr>
              <a:spLocks noTextEdit="1"/>
            </xdr:cNvSpPr>
          </xdr:nvSpPr>
          <xdr:spPr>
            <a:xfrm>
              <a:off x="2831866" y="1765300"/>
              <a:ext cx="13322534"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161924</xdr:colOff>
      <xdr:row>2</xdr:row>
      <xdr:rowOff>38100</xdr:rowOff>
    </xdr:from>
    <xdr:to>
      <xdr:col>16</xdr:col>
      <xdr:colOff>546100</xdr:colOff>
      <xdr:row>8</xdr:row>
      <xdr:rowOff>88900</xdr:rowOff>
    </xdr:to>
    <mc:AlternateContent xmlns:mc="http://schemas.openxmlformats.org/markup-compatibility/2006">
      <mc:Choice xmlns:tsle="http://schemas.microsoft.com/office/drawing/2012/timeslicer" Requires="tsle">
        <xdr:graphicFrame macro="">
          <xdr:nvGraphicFramePr>
            <xdr:cNvPr id="17" name="Date 5"/>
            <xdr:cNvGraphicFramePr/>
          </xdr:nvGraphicFramePr>
          <xdr:xfrm>
            <a:off x="0" y="0"/>
            <a:ext cx="0" cy="0"/>
          </xdr:xfrm>
          <a:graphic>
            <a:graphicData uri="http://schemas.microsoft.com/office/drawing/2012/timeslicer">
              <tsle:timeslicer xmlns:tsle="http://schemas.microsoft.com/office/drawing/2012/timeslicer" name="Date 5"/>
            </a:graphicData>
          </a:graphic>
        </xdr:graphicFrame>
      </mc:Choice>
      <mc:Fallback>
        <xdr:sp macro="" textlink="">
          <xdr:nvSpPr>
            <xdr:cNvPr id="0" name=""/>
            <xdr:cNvSpPr>
              <a:spLocks noTextEdit="1"/>
            </xdr:cNvSpPr>
          </xdr:nvSpPr>
          <xdr:spPr>
            <a:xfrm>
              <a:off x="4429124" y="419100"/>
              <a:ext cx="5870576" cy="1193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152400</xdr:colOff>
      <xdr:row>14</xdr:row>
      <xdr:rowOff>146049</xdr:rowOff>
    </xdr:from>
    <xdr:to>
      <xdr:col>16</xdr:col>
      <xdr:colOff>92075</xdr:colOff>
      <xdr:row>18</xdr:row>
      <xdr:rowOff>63499</xdr:rowOff>
    </xdr:to>
    <xdr:sp macro="" textlink="">
      <xdr:nvSpPr>
        <xdr:cNvPr id="18" name="Rounded Rectangle 17"/>
        <xdr:cNvSpPr/>
      </xdr:nvSpPr>
      <xdr:spPr>
        <a:xfrm>
          <a:off x="7467600" y="2813049"/>
          <a:ext cx="2378075" cy="67945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393700</xdr:colOff>
      <xdr:row>14</xdr:row>
      <xdr:rowOff>152401</xdr:rowOff>
    </xdr:from>
    <xdr:to>
      <xdr:col>16</xdr:col>
      <xdr:colOff>88899</xdr:colOff>
      <xdr:row>18</xdr:row>
      <xdr:rowOff>63501</xdr:rowOff>
    </xdr:to>
    <xdr:sp macro="" textlink="">
      <xdr:nvSpPr>
        <xdr:cNvPr id="19" name="Rounded Rectangle 18"/>
        <xdr:cNvSpPr/>
      </xdr:nvSpPr>
      <xdr:spPr>
        <a:xfrm>
          <a:off x="7708900" y="2819401"/>
          <a:ext cx="2133599" cy="6731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Total Amount</a:t>
          </a:r>
        </a:p>
        <a:p>
          <a:pPr algn="l"/>
          <a:endParaRPr lang="en-IN" sz="1800" b="1"/>
        </a:p>
      </xdr:txBody>
    </xdr:sp>
    <xdr:clientData/>
  </xdr:twoCellAnchor>
  <xdr:twoCellAnchor>
    <xdr:from>
      <xdr:col>13</xdr:col>
      <xdr:colOff>254000</xdr:colOff>
      <xdr:row>16</xdr:row>
      <xdr:rowOff>101600</xdr:rowOff>
    </xdr:from>
    <xdr:to>
      <xdr:col>15</xdr:col>
      <xdr:colOff>266700</xdr:colOff>
      <xdr:row>17</xdr:row>
      <xdr:rowOff>190499</xdr:rowOff>
    </xdr:to>
    <xdr:sp macro="" textlink="'new-pivot'!B58">
      <xdr:nvSpPr>
        <xdr:cNvPr id="20" name="Rounded Rectangle 19"/>
        <xdr:cNvSpPr/>
      </xdr:nvSpPr>
      <xdr:spPr>
        <a:xfrm>
          <a:off x="8178800" y="3149600"/>
          <a:ext cx="1231900" cy="279399"/>
        </a:xfrm>
        <a:prstGeom prst="roundRect">
          <a:avLst/>
        </a:prstGeom>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t"/>
        <a:lstStyle/>
        <a:p>
          <a:pPr algn="l"/>
          <a:fld id="{E2BCF526-DE55-41F0-B4FA-3917F67738AF}" type="TxLink">
            <a:rPr lang="en-US" sz="1600" b="0" i="0" u="none" strike="noStrike">
              <a:solidFill>
                <a:srgbClr val="000000"/>
              </a:solidFill>
              <a:latin typeface="Calibri"/>
              <a:cs typeface="Calibri"/>
            </a:rPr>
            <a:t>366</a:t>
          </a:fld>
          <a:endParaRPr lang="en-IN" sz="16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0.59451</cdr:x>
      <cdr:y>0.16667</cdr:y>
    </cdr:from>
    <cdr:to>
      <cdr:x>0.96037</cdr:x>
      <cdr:y>0.30645</cdr:y>
    </cdr:to>
    <cdr:sp macro="" textlink="">
      <cdr:nvSpPr>
        <cdr:cNvPr id="2" name="Rectangle 1"/>
        <cdr:cNvSpPr/>
      </cdr:nvSpPr>
      <cdr:spPr>
        <a:xfrm xmlns:a="http://schemas.openxmlformats.org/drawingml/2006/main">
          <a:off x="1857376" y="295275"/>
          <a:ext cx="1143000" cy="2476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Sales by product</a:t>
          </a:r>
        </a:p>
      </cdr:txBody>
    </cdr:sp>
  </cdr:relSizeAnchor>
</c:userShapes>
</file>

<file path=xl/drawings/drawing3.xml><?xml version="1.0" encoding="utf-8"?>
<c:userShapes xmlns:c="http://schemas.openxmlformats.org/drawingml/2006/chart">
  <cdr:relSizeAnchor xmlns:cdr="http://schemas.openxmlformats.org/drawingml/2006/chartDrawing">
    <cdr:from>
      <cdr:x>0.36364</cdr:x>
      <cdr:y>0.08602</cdr:y>
    </cdr:from>
    <cdr:to>
      <cdr:x>0.69519</cdr:x>
      <cdr:y>0.22043</cdr:y>
    </cdr:to>
    <cdr:sp macro="" textlink="">
      <cdr:nvSpPr>
        <cdr:cNvPr id="3" name="Rectangle 2"/>
        <cdr:cNvSpPr/>
      </cdr:nvSpPr>
      <cdr:spPr>
        <a:xfrm xmlns:a="http://schemas.openxmlformats.org/drawingml/2006/main">
          <a:off x="1295399" y="152399"/>
          <a:ext cx="1181100" cy="2381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Sales by month</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66676</xdr:colOff>
      <xdr:row>46</xdr:row>
      <xdr:rowOff>176213</xdr:rowOff>
    </xdr:from>
    <xdr:to>
      <xdr:col>3</xdr:col>
      <xdr:colOff>95250</xdr:colOff>
      <xdr:row>57</xdr:row>
      <xdr:rowOff>47625</xdr:rowOff>
    </xdr:to>
    <xdr:graphicFrame macro="">
      <xdr:nvGraphicFramePr>
        <xdr:cNvPr id="2" name="Chart 1">
          <a:extLst>
            <a:ext uri="{FF2B5EF4-FFF2-40B4-BE49-F238E27FC236}">
              <a16:creationId xmlns:a16="http://schemas.microsoft.com/office/drawing/2014/main" xmlns="" id="{4F094AAE-930A-3004-74CF-203A1A159B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161925</xdr:colOff>
      <xdr:row>43</xdr:row>
      <xdr:rowOff>1</xdr:rowOff>
    </xdr:from>
    <xdr:to>
      <xdr:col>0</xdr:col>
      <xdr:colOff>819150</xdr:colOff>
      <xdr:row>46</xdr:row>
      <xdr:rowOff>133351</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xmlns="" id="{099F978F-13C4-6459-E566-39CDDDA766FF}"/>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161925" y="8191501"/>
              <a:ext cx="657225"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169545</xdr:colOff>
      <xdr:row>35</xdr:row>
      <xdr:rowOff>33338</xdr:rowOff>
    </xdr:from>
    <xdr:to>
      <xdr:col>4</xdr:col>
      <xdr:colOff>697230</xdr:colOff>
      <xdr:row>42</xdr:row>
      <xdr:rowOff>116205</xdr:rowOff>
    </xdr:to>
    <xdr:graphicFrame macro="">
      <xdr:nvGraphicFramePr>
        <xdr:cNvPr id="4" name="Chart 3">
          <a:extLst>
            <a:ext uri="{FF2B5EF4-FFF2-40B4-BE49-F238E27FC236}">
              <a16:creationId xmlns:a16="http://schemas.microsoft.com/office/drawing/2014/main" xmlns="" id="{3BB7E8A5-74C4-74F7-901A-CBCAE9CCE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167640</xdr:colOff>
      <xdr:row>36</xdr:row>
      <xdr:rowOff>161926</xdr:rowOff>
    </xdr:from>
    <xdr:to>
      <xdr:col>5</xdr:col>
      <xdr:colOff>901065</xdr:colOff>
      <xdr:row>41</xdr:row>
      <xdr:rowOff>180975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xmlns="" id="{2CEDBB68-2E7F-79E2-C365-3E1BACDB5CD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27220" y="6745606"/>
              <a:ext cx="733425" cy="9334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363854</xdr:colOff>
      <xdr:row>52</xdr:row>
      <xdr:rowOff>5715</xdr:rowOff>
    </xdr:from>
    <xdr:to>
      <xdr:col>11</xdr:col>
      <xdr:colOff>186689</xdr:colOff>
      <xdr:row>58</xdr:row>
      <xdr:rowOff>55245</xdr:rowOff>
    </xdr:to>
    <xdr:graphicFrame macro="">
      <xdr:nvGraphicFramePr>
        <xdr:cNvPr id="6" name="Chart 5">
          <a:extLst>
            <a:ext uri="{FF2B5EF4-FFF2-40B4-BE49-F238E27FC236}">
              <a16:creationId xmlns:a16="http://schemas.microsoft.com/office/drawing/2014/main" xmlns="" id="{8824A78A-7F68-7536-3A57-EEAF206F0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962025</xdr:colOff>
      <xdr:row>59</xdr:row>
      <xdr:rowOff>104775</xdr:rowOff>
    </xdr:from>
    <xdr:to>
      <xdr:col>11</xdr:col>
      <xdr:colOff>3810</xdr:colOff>
      <xdr:row>64</xdr:row>
      <xdr:rowOff>76200</xdr:rowOff>
    </xdr:to>
    <mc:AlternateContent xmlns:mc="http://schemas.openxmlformats.org/markup-compatibility/2006" xmlns:tsle="http://schemas.microsoft.com/office/drawing/2012/timeslicer">
      <mc:Choice Requires="tsle">
        <xdr:graphicFrame macro="">
          <xdr:nvGraphicFramePr>
            <xdr:cNvPr id="8" name="Date">
              <a:extLst>
                <a:ext uri="{FF2B5EF4-FFF2-40B4-BE49-F238E27FC236}">
                  <a16:creationId xmlns:a16="http://schemas.microsoft.com/office/drawing/2014/main" xmlns="" id="{E779F22B-4681-B01E-4181-F3CD48738004}"/>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219575" y="11344275"/>
              <a:ext cx="4457700"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447675</xdr:colOff>
      <xdr:row>83</xdr:row>
      <xdr:rowOff>109537</xdr:rowOff>
    </xdr:from>
    <xdr:to>
      <xdr:col>1</xdr:col>
      <xdr:colOff>571500</xdr:colOff>
      <xdr:row>87</xdr:row>
      <xdr:rowOff>95250</xdr:rowOff>
    </xdr:to>
    <xdr:graphicFrame macro="">
      <xdr:nvGraphicFramePr>
        <xdr:cNvPr id="10" name="Chart 9">
          <a:extLst>
            <a:ext uri="{FF2B5EF4-FFF2-40B4-BE49-F238E27FC236}">
              <a16:creationId xmlns:a16="http://schemas.microsoft.com/office/drawing/2014/main" xmlns="" id="{A78232F5-F574-8758-4564-E15D1469D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85723</xdr:colOff>
      <xdr:row>71</xdr:row>
      <xdr:rowOff>9525</xdr:rowOff>
    </xdr:from>
    <xdr:to>
      <xdr:col>2</xdr:col>
      <xdr:colOff>981075</xdr:colOff>
      <xdr:row>74</xdr:row>
      <xdr:rowOff>161924</xdr:rowOff>
    </xdr:to>
    <mc:AlternateContent xmlns:mc="http://schemas.openxmlformats.org/markup-compatibility/2006" xmlns:a14="http://schemas.microsoft.com/office/drawing/2010/main">
      <mc:Choice Requires="a14">
        <xdr:graphicFrame macro="">
          <xdr:nvGraphicFramePr>
            <xdr:cNvPr id="11" name="Item 2">
              <a:extLst>
                <a:ext uri="{FF2B5EF4-FFF2-40B4-BE49-F238E27FC236}">
                  <a16:creationId xmlns:a16="http://schemas.microsoft.com/office/drawing/2014/main" xmlns="" id="{BCB11087-7C1D-5E66-2AB6-BC43C1CA0945}"/>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85723" y="13535025"/>
              <a:ext cx="2571752" cy="723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314325</xdr:colOff>
      <xdr:row>78</xdr:row>
      <xdr:rowOff>147637</xdr:rowOff>
    </xdr:from>
    <xdr:to>
      <xdr:col>13</xdr:col>
      <xdr:colOff>571500</xdr:colOff>
      <xdr:row>90</xdr:row>
      <xdr:rowOff>123825</xdr:rowOff>
    </xdr:to>
    <xdr:graphicFrame macro="">
      <xdr:nvGraphicFramePr>
        <xdr:cNvPr id="14" name="Chart 13">
          <a:extLst>
            <a:ext uri="{FF2B5EF4-FFF2-40B4-BE49-F238E27FC236}">
              <a16:creationId xmlns:a16="http://schemas.microsoft.com/office/drawing/2014/main" xmlns="" id="{361F79B6-BF93-79FC-0ECB-789A76070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762000</xdr:colOff>
      <xdr:row>83</xdr:row>
      <xdr:rowOff>100013</xdr:rowOff>
    </xdr:from>
    <xdr:to>
      <xdr:col>7</xdr:col>
      <xdr:colOff>200025</xdr:colOff>
      <xdr:row>92</xdr:row>
      <xdr:rowOff>38101</xdr:rowOff>
    </xdr:to>
    <xdr:graphicFrame macro="">
      <xdr:nvGraphicFramePr>
        <xdr:cNvPr id="15" name="Chart 14">
          <a:extLst>
            <a:ext uri="{FF2B5EF4-FFF2-40B4-BE49-F238E27FC236}">
              <a16:creationId xmlns:a16="http://schemas.microsoft.com/office/drawing/2014/main" xmlns="" id="{EF1AC594-A9FE-5363-738B-7C43EB2AAC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6</xdr:col>
      <xdr:colOff>381000</xdr:colOff>
      <xdr:row>93</xdr:row>
      <xdr:rowOff>123826</xdr:rowOff>
    </xdr:from>
    <xdr:ext cx="1733550" cy="342900"/>
    <xdr:sp macro="" textlink="">
      <xdr:nvSpPr>
        <xdr:cNvPr id="16" name="TextBox 15">
          <a:extLst>
            <a:ext uri="{FF2B5EF4-FFF2-40B4-BE49-F238E27FC236}">
              <a16:creationId xmlns:a16="http://schemas.microsoft.com/office/drawing/2014/main" xmlns="" id="{0BCD794C-5F1D-15C7-E228-47B0FE0AEAE5}"/>
            </a:ext>
          </a:extLst>
        </xdr:cNvPr>
        <xdr:cNvSpPr txBox="1"/>
      </xdr:nvSpPr>
      <xdr:spPr>
        <a:xfrm>
          <a:off x="5476875" y="17840326"/>
          <a:ext cx="1733550" cy="342900"/>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Top</a:t>
          </a:r>
          <a:r>
            <a:rPr lang="en-US" sz="1100" b="1" baseline="0"/>
            <a:t> performing 3 product</a:t>
          </a:r>
          <a:endParaRPr lang="en-US" sz="1100" b="1"/>
        </a:p>
      </xdr:txBody>
    </xdr:sp>
    <xdr:clientData/>
  </xdr:oneCellAnchor>
  <xdr:oneCellAnchor>
    <xdr:from>
      <xdr:col>9</xdr:col>
      <xdr:colOff>609599</xdr:colOff>
      <xdr:row>93</xdr:row>
      <xdr:rowOff>0</xdr:rowOff>
    </xdr:from>
    <xdr:ext cx="1743075" cy="342900"/>
    <xdr:sp macro="" textlink="">
      <xdr:nvSpPr>
        <xdr:cNvPr id="17" name="TextBox 16">
          <a:extLst>
            <a:ext uri="{FF2B5EF4-FFF2-40B4-BE49-F238E27FC236}">
              <a16:creationId xmlns:a16="http://schemas.microsoft.com/office/drawing/2014/main" xmlns="" id="{8469807E-2AE4-41F4-BB4B-08FB0DCD570C}"/>
            </a:ext>
          </a:extLst>
        </xdr:cNvPr>
        <xdr:cNvSpPr txBox="1"/>
      </xdr:nvSpPr>
      <xdr:spPr>
        <a:xfrm>
          <a:off x="7639049" y="17716500"/>
          <a:ext cx="1743075" cy="342900"/>
        </a:xfrm>
        <a:prstGeom prst="rect">
          <a:avLst/>
        </a:prstGeom>
        <a:solidFill>
          <a:schemeClr val="bg1"/>
        </a:solidFill>
        <a:ln>
          <a:solidFill>
            <a:schemeClr val="bg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Top</a:t>
          </a:r>
          <a:r>
            <a:rPr lang="en-US" sz="1100" b="1" baseline="0"/>
            <a:t> 3 less selling product</a:t>
          </a:r>
          <a:endParaRPr lang="en-US" sz="1100" b="1"/>
        </a:p>
      </xdr:txBody>
    </xdr:sp>
    <xdr:clientData/>
  </xdr:oneCellAnchor>
  <xdr:twoCellAnchor>
    <xdr:from>
      <xdr:col>3</xdr:col>
      <xdr:colOff>381001</xdr:colOff>
      <xdr:row>100</xdr:row>
      <xdr:rowOff>138113</xdr:rowOff>
    </xdr:from>
    <xdr:to>
      <xdr:col>8</xdr:col>
      <xdr:colOff>247651</xdr:colOff>
      <xdr:row>112</xdr:row>
      <xdr:rowOff>57151</xdr:rowOff>
    </xdr:to>
    <xdr:graphicFrame macro="">
      <xdr:nvGraphicFramePr>
        <xdr:cNvPr id="18" name="Chart 17">
          <a:extLst>
            <a:ext uri="{FF2B5EF4-FFF2-40B4-BE49-F238E27FC236}">
              <a16:creationId xmlns:a16="http://schemas.microsoft.com/office/drawing/2014/main" xmlns="" id="{707138B3-3A9B-E4B3-6A12-9949418BBC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361949</xdr:colOff>
      <xdr:row>103</xdr:row>
      <xdr:rowOff>180976</xdr:rowOff>
    </xdr:from>
    <xdr:to>
      <xdr:col>11</xdr:col>
      <xdr:colOff>22859</xdr:colOff>
      <xdr:row>108</xdr:row>
      <xdr:rowOff>28575</xdr:rowOff>
    </xdr:to>
    <mc:AlternateContent xmlns:mc="http://schemas.openxmlformats.org/markup-compatibility/2006" xmlns:a14="http://schemas.microsoft.com/office/drawing/2010/main">
      <mc:Choice Requires="a14">
        <xdr:graphicFrame macro="">
          <xdr:nvGraphicFramePr>
            <xdr:cNvPr id="19" name="Item 4">
              <a:extLst>
                <a:ext uri="{FF2B5EF4-FFF2-40B4-BE49-F238E27FC236}">
                  <a16:creationId xmlns:a16="http://schemas.microsoft.com/office/drawing/2014/main" xmlns="" id="{E32A8970-9E25-3950-3649-BE837FFE3C48}"/>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3705224" y="19802476"/>
              <a:ext cx="5076825" cy="800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552450</xdr:colOff>
      <xdr:row>111</xdr:row>
      <xdr:rowOff>176213</xdr:rowOff>
    </xdr:from>
    <xdr:to>
      <xdr:col>10</xdr:col>
      <xdr:colOff>476250</xdr:colOff>
      <xdr:row>122</xdr:row>
      <xdr:rowOff>1</xdr:rowOff>
    </xdr:to>
    <xdr:graphicFrame macro="">
      <xdr:nvGraphicFramePr>
        <xdr:cNvPr id="21" name="Chart 20">
          <a:extLst>
            <a:ext uri="{FF2B5EF4-FFF2-40B4-BE49-F238E27FC236}">
              <a16:creationId xmlns:a16="http://schemas.microsoft.com/office/drawing/2014/main" xmlns="" id="{67F0B605-5B15-FC3A-FF58-42CFBA480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647700</xdr:colOff>
      <xdr:row>111</xdr:row>
      <xdr:rowOff>161925</xdr:rowOff>
    </xdr:from>
    <xdr:to>
      <xdr:col>9</xdr:col>
      <xdr:colOff>228600</xdr:colOff>
      <xdr:row>119</xdr:row>
      <xdr:rowOff>85725</xdr:rowOff>
    </xdr:to>
    <xdr:graphicFrame macro="">
      <xdr:nvGraphicFramePr>
        <xdr:cNvPr id="22" name="Chart 21">
          <a:extLst>
            <a:ext uri="{FF2B5EF4-FFF2-40B4-BE49-F238E27FC236}">
              <a16:creationId xmlns:a16="http://schemas.microsoft.com/office/drawing/2014/main" xmlns="" id="{E4658BDC-9955-4BD1-D45B-9AE3A67DFB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556260</xdr:colOff>
      <xdr:row>69</xdr:row>
      <xdr:rowOff>76200</xdr:rowOff>
    </xdr:from>
    <xdr:to>
      <xdr:col>17</xdr:col>
      <xdr:colOff>320040</xdr:colOff>
      <xdr:row>76</xdr:row>
      <xdr:rowOff>137160</xdr:rowOff>
    </xdr:to>
    <xdr:graphicFrame macro="">
      <xdr:nvGraphicFramePr>
        <xdr:cNvPr id="12" name="Chart 11">
          <a:extLst>
            <a:ext uri="{FF2B5EF4-FFF2-40B4-BE49-F238E27FC236}">
              <a16:creationId xmlns:a16="http://schemas.microsoft.com/office/drawing/2014/main" xmlns="" id="{03A7E9C3-26D7-4161-8B84-BDC844C371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7620</xdr:colOff>
      <xdr:row>139</xdr:row>
      <xdr:rowOff>95250</xdr:rowOff>
    </xdr:from>
    <xdr:to>
      <xdr:col>12</xdr:col>
      <xdr:colOff>167640</xdr:colOff>
      <xdr:row>148</xdr:row>
      <xdr:rowOff>76200</xdr:rowOff>
    </xdr:to>
    <xdr:graphicFrame macro="">
      <xdr:nvGraphicFramePr>
        <xdr:cNvPr id="13" name="Chart 12">
          <a:extLst>
            <a:ext uri="{FF2B5EF4-FFF2-40B4-BE49-F238E27FC236}">
              <a16:creationId xmlns:a16="http://schemas.microsoft.com/office/drawing/2014/main" xmlns="" id="{BB33CBF9-456C-4515-B1E5-A75D40407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701040</xdr:colOff>
      <xdr:row>151</xdr:row>
      <xdr:rowOff>22860</xdr:rowOff>
    </xdr:from>
    <xdr:to>
      <xdr:col>11</xdr:col>
      <xdr:colOff>822960</xdr:colOff>
      <xdr:row>160</xdr:row>
      <xdr:rowOff>80010</xdr:rowOff>
    </xdr:to>
    <xdr:graphicFrame macro="">
      <xdr:nvGraphicFramePr>
        <xdr:cNvPr id="20" name="Chart 19">
          <a:extLst>
            <a:ext uri="{FF2B5EF4-FFF2-40B4-BE49-F238E27FC236}">
              <a16:creationId xmlns:a16="http://schemas.microsoft.com/office/drawing/2014/main" xmlns="" id="{D60B15B3-5927-4DBC-8169-E7969053FE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7</xdr:col>
      <xdr:colOff>220980</xdr:colOff>
      <xdr:row>6</xdr:row>
      <xdr:rowOff>144780</xdr:rowOff>
    </xdr:from>
    <xdr:to>
      <xdr:col>9</xdr:col>
      <xdr:colOff>579120</xdr:colOff>
      <xdr:row>20</xdr:row>
      <xdr:rowOff>51435</xdr:rowOff>
    </xdr:to>
    <mc:AlternateContent xmlns:mc="http://schemas.openxmlformats.org/markup-compatibility/2006" xmlns:a14="http://schemas.microsoft.com/office/drawing/2010/main">
      <mc:Choice Requires="a14">
        <xdr:graphicFrame macro="">
          <xdr:nvGraphicFramePr>
            <xdr:cNvPr id="7" name="Region 4"/>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149340" y="1242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670560</xdr:colOff>
      <xdr:row>5</xdr:row>
      <xdr:rowOff>7620</xdr:rowOff>
    </xdr:from>
    <xdr:to>
      <xdr:col>17</xdr:col>
      <xdr:colOff>251460</xdr:colOff>
      <xdr:row>8</xdr:row>
      <xdr:rowOff>121920</xdr:rowOff>
    </xdr:to>
    <mc:AlternateContent xmlns:mc="http://schemas.openxmlformats.org/markup-compatibility/2006" xmlns:a14="http://schemas.microsoft.com/office/drawing/2010/main">
      <mc:Choice Requires="a14">
        <xdr:graphicFrame macro="">
          <xdr:nvGraphicFramePr>
            <xdr:cNvPr id="9" name="Item 7"/>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5021580" y="922020"/>
              <a:ext cx="815340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76200</xdr:colOff>
      <xdr:row>0</xdr:row>
      <xdr:rowOff>60484</xdr:rowOff>
    </xdr:from>
    <xdr:to>
      <xdr:col>20</xdr:col>
      <xdr:colOff>238125</xdr:colOff>
      <xdr:row>26</xdr:row>
      <xdr:rowOff>76201</xdr:rowOff>
    </xdr:to>
    <xdr:sp macro="" textlink="">
      <xdr:nvSpPr>
        <xdr:cNvPr id="2" name="Rectangle: Rounded Corners 1">
          <a:extLst>
            <a:ext uri="{FF2B5EF4-FFF2-40B4-BE49-F238E27FC236}">
              <a16:creationId xmlns:a16="http://schemas.microsoft.com/office/drawing/2014/main" xmlns="" id="{C2CD7CB9-5454-4C86-89A7-6A43056312ED}"/>
            </a:ext>
          </a:extLst>
        </xdr:cNvPr>
        <xdr:cNvSpPr/>
      </xdr:nvSpPr>
      <xdr:spPr>
        <a:xfrm>
          <a:off x="1295400" y="60484"/>
          <a:ext cx="12353925" cy="4273392"/>
        </a:xfrm>
        <a:prstGeom prst="roundRect">
          <a:avLst>
            <a:gd name="adj" fmla="val 22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0</xdr:row>
      <xdr:rowOff>100965</xdr:rowOff>
    </xdr:from>
    <xdr:to>
      <xdr:col>20</xdr:col>
      <xdr:colOff>152400</xdr:colOff>
      <xdr:row>26</xdr:row>
      <xdr:rowOff>9525</xdr:rowOff>
    </xdr:to>
    <xdr:sp macro="" textlink="">
      <xdr:nvSpPr>
        <xdr:cNvPr id="3" name="Rectangle: Rounded Corners 2">
          <a:extLst>
            <a:ext uri="{FF2B5EF4-FFF2-40B4-BE49-F238E27FC236}">
              <a16:creationId xmlns:a16="http://schemas.microsoft.com/office/drawing/2014/main" xmlns="" id="{F9C45196-DFA7-4889-905F-86A0E20617AC}"/>
            </a:ext>
          </a:extLst>
        </xdr:cNvPr>
        <xdr:cNvSpPr/>
      </xdr:nvSpPr>
      <xdr:spPr>
        <a:xfrm>
          <a:off x="1866900" y="100965"/>
          <a:ext cx="10477500" cy="4166235"/>
        </a:xfrm>
        <a:prstGeom prst="roundRect">
          <a:avLst>
            <a:gd name="adj" fmla="val 1234"/>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169545</xdr:colOff>
      <xdr:row>7</xdr:row>
      <xdr:rowOff>43815</xdr:rowOff>
    </xdr:from>
    <xdr:to>
      <xdr:col>2</xdr:col>
      <xdr:colOff>527685</xdr:colOff>
      <xdr:row>9</xdr:row>
      <xdr:rowOff>173355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xmlns="" id="{246EC2BD-CAD2-44A5-A293-E7FCEF62A5BF}"/>
            </a:ext>
          </a:extLst>
        </xdr:cNvPr>
        <xdr:cNvSpPr/>
      </xdr:nvSpPr>
      <xdr:spPr>
        <a:xfrm>
          <a:off x="1388745" y="1377315"/>
          <a:ext cx="1577340" cy="510540"/>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DASHBOARD</a:t>
          </a:r>
        </a:p>
      </xdr:txBody>
    </xdr:sp>
    <xdr:clientData/>
  </xdr:twoCellAnchor>
  <xdr:twoCellAnchor>
    <xdr:from>
      <xdr:col>0</xdr:col>
      <xdr:colOff>152399</xdr:colOff>
      <xdr:row>10</xdr:row>
      <xdr:rowOff>55245</xdr:rowOff>
    </xdr:from>
    <xdr:to>
      <xdr:col>2</xdr:col>
      <xdr:colOff>501014</xdr:colOff>
      <xdr:row>16</xdr:row>
      <xdr:rowOff>118110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xmlns="" id="{19784B9D-2875-4D31-9E46-F00C5FA750C3}"/>
            </a:ext>
          </a:extLst>
        </xdr:cNvPr>
        <xdr:cNvSpPr/>
      </xdr:nvSpPr>
      <xdr:spPr>
        <a:xfrm>
          <a:off x="1371599" y="1960245"/>
          <a:ext cx="1567815" cy="5105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PRODUCT</a:t>
          </a:r>
        </a:p>
      </xdr:txBody>
    </xdr:sp>
    <xdr:clientData/>
  </xdr:twoCellAnchor>
  <xdr:twoCellAnchor>
    <xdr:from>
      <xdr:col>0</xdr:col>
      <xdr:colOff>108585</xdr:colOff>
      <xdr:row>17</xdr:row>
      <xdr:rowOff>1905</xdr:rowOff>
    </xdr:from>
    <xdr:to>
      <xdr:col>2</xdr:col>
      <xdr:colOff>497205</xdr:colOff>
      <xdr:row>19</xdr:row>
      <xdr:rowOff>139065</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xmlns="" id="{3BEE3CFD-3E37-482B-A601-71AD4063D823}"/>
            </a:ext>
          </a:extLst>
        </xdr:cNvPr>
        <xdr:cNvSpPr/>
      </xdr:nvSpPr>
      <xdr:spPr>
        <a:xfrm>
          <a:off x="1327785" y="2545080"/>
          <a:ext cx="1607820" cy="5181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SALESMAN</a:t>
          </a:r>
        </a:p>
      </xdr:txBody>
    </xdr:sp>
    <xdr:clientData/>
  </xdr:twoCellAnchor>
  <xdr:twoCellAnchor>
    <xdr:from>
      <xdr:col>0</xdr:col>
      <xdr:colOff>104775</xdr:colOff>
      <xdr:row>20</xdr:row>
      <xdr:rowOff>51435</xdr:rowOff>
    </xdr:from>
    <xdr:to>
      <xdr:col>2</xdr:col>
      <xdr:colOff>440055</xdr:colOff>
      <xdr:row>22</xdr:row>
      <xdr:rowOff>188595</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xmlns="" id="{A525C718-8BB5-482E-88C8-29E6AD4FF1BA}"/>
            </a:ext>
          </a:extLst>
        </xdr:cNvPr>
        <xdr:cNvSpPr/>
      </xdr:nvSpPr>
      <xdr:spPr>
        <a:xfrm>
          <a:off x="1323975" y="3166110"/>
          <a:ext cx="1554480" cy="5181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ABOUT</a:t>
          </a:r>
          <a:r>
            <a:rPr lang="en-US" sz="1800" b="1" baseline="0"/>
            <a:t> US</a:t>
          </a:r>
          <a:endParaRPr lang="en-US" sz="1800" b="1"/>
        </a:p>
      </xdr:txBody>
    </xdr:sp>
    <xdr:clientData/>
  </xdr:twoCellAnchor>
  <xdr:twoCellAnchor>
    <xdr:from>
      <xdr:col>13</xdr:col>
      <xdr:colOff>333374</xdr:colOff>
      <xdr:row>0</xdr:row>
      <xdr:rowOff>154305</xdr:rowOff>
    </xdr:from>
    <xdr:to>
      <xdr:col>20</xdr:col>
      <xdr:colOff>114300</xdr:colOff>
      <xdr:row>6</xdr:row>
      <xdr:rowOff>47625</xdr:rowOff>
    </xdr:to>
    <xdr:sp macro="" textlink="">
      <xdr:nvSpPr>
        <xdr:cNvPr id="9" name="Rectangle 8">
          <a:extLst>
            <a:ext uri="{FF2B5EF4-FFF2-40B4-BE49-F238E27FC236}">
              <a16:creationId xmlns:a16="http://schemas.microsoft.com/office/drawing/2014/main" xmlns="" id="{50695635-7DA1-4A5D-A09F-D2A15A550C01}"/>
            </a:ext>
          </a:extLst>
        </xdr:cNvPr>
        <xdr:cNvSpPr/>
      </xdr:nvSpPr>
      <xdr:spPr>
        <a:xfrm>
          <a:off x="9477374" y="154305"/>
          <a:ext cx="4048126" cy="103632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95251</xdr:colOff>
      <xdr:row>6</xdr:row>
      <xdr:rowOff>108584</xdr:rowOff>
    </xdr:from>
    <xdr:to>
      <xdr:col>20</xdr:col>
      <xdr:colOff>100965</xdr:colOff>
      <xdr:row>10</xdr:row>
      <xdr:rowOff>38100</xdr:rowOff>
    </xdr:to>
    <xdr:sp macro="" textlink="">
      <xdr:nvSpPr>
        <xdr:cNvPr id="10" name="Rectangle 9">
          <a:extLst>
            <a:ext uri="{FF2B5EF4-FFF2-40B4-BE49-F238E27FC236}">
              <a16:creationId xmlns:a16="http://schemas.microsoft.com/office/drawing/2014/main" xmlns="" id="{F77A38B2-DB45-4FDD-87EC-436758558999}"/>
            </a:ext>
          </a:extLst>
        </xdr:cNvPr>
        <xdr:cNvSpPr/>
      </xdr:nvSpPr>
      <xdr:spPr>
        <a:xfrm>
          <a:off x="3143251" y="1251584"/>
          <a:ext cx="10368914" cy="69151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81915</xdr:colOff>
      <xdr:row>0</xdr:row>
      <xdr:rowOff>158115</xdr:rowOff>
    </xdr:from>
    <xdr:to>
      <xdr:col>13</xdr:col>
      <xdr:colOff>171450</xdr:colOff>
      <xdr:row>6</xdr:row>
      <xdr:rowOff>47625</xdr:rowOff>
    </xdr:to>
    <xdr:sp macro="" textlink="">
      <xdr:nvSpPr>
        <xdr:cNvPr id="12" name="Rectangle 11">
          <a:extLst>
            <a:ext uri="{FF2B5EF4-FFF2-40B4-BE49-F238E27FC236}">
              <a16:creationId xmlns:a16="http://schemas.microsoft.com/office/drawing/2014/main" xmlns="" id="{617CE30D-366F-4C33-974C-94271AE265DE}"/>
            </a:ext>
          </a:extLst>
        </xdr:cNvPr>
        <xdr:cNvSpPr/>
      </xdr:nvSpPr>
      <xdr:spPr>
        <a:xfrm>
          <a:off x="3129915" y="158115"/>
          <a:ext cx="6185535" cy="103251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133350</xdr:colOff>
      <xdr:row>15</xdr:row>
      <xdr:rowOff>76200</xdr:rowOff>
    </xdr:from>
    <xdr:to>
      <xdr:col>5</xdr:col>
      <xdr:colOff>523875</xdr:colOff>
      <xdr:row>18</xdr:row>
      <xdr:rowOff>85725</xdr:rowOff>
    </xdr:to>
    <xdr:sp macro="" textlink="">
      <xdr:nvSpPr>
        <xdr:cNvPr id="15" name="Rectangle: Rounded Corners 14">
          <a:extLst>
            <a:ext uri="{FF2B5EF4-FFF2-40B4-BE49-F238E27FC236}">
              <a16:creationId xmlns:a16="http://schemas.microsoft.com/office/drawing/2014/main" xmlns="" id="{2DA8A4A6-0B51-46C9-856E-ECA06DA4D6A7}"/>
            </a:ext>
          </a:extLst>
        </xdr:cNvPr>
        <xdr:cNvSpPr/>
      </xdr:nvSpPr>
      <xdr:spPr>
        <a:xfrm>
          <a:off x="1962150" y="2238375"/>
          <a:ext cx="1609725" cy="581025"/>
        </a:xfrm>
        <a:prstGeom prst="roundRect">
          <a:avLst/>
        </a:prstGeom>
        <a:solidFill>
          <a:srgbClr val="00B05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266700</xdr:colOff>
      <xdr:row>15</xdr:row>
      <xdr:rowOff>85725</xdr:rowOff>
    </xdr:from>
    <xdr:to>
      <xdr:col>5</xdr:col>
      <xdr:colOff>533400</xdr:colOff>
      <xdr:row>18</xdr:row>
      <xdr:rowOff>85724</xdr:rowOff>
    </xdr:to>
    <xdr:sp macro="" textlink="">
      <xdr:nvSpPr>
        <xdr:cNvPr id="16" name="Rectangle: Rounded Corners 15">
          <a:extLst>
            <a:ext uri="{FF2B5EF4-FFF2-40B4-BE49-F238E27FC236}">
              <a16:creationId xmlns:a16="http://schemas.microsoft.com/office/drawing/2014/main" xmlns="" id="{A8CE621E-BC6A-47E0-9484-99FB8CB60E0A}"/>
            </a:ext>
          </a:extLst>
        </xdr:cNvPr>
        <xdr:cNvSpPr/>
      </xdr:nvSpPr>
      <xdr:spPr>
        <a:xfrm>
          <a:off x="2095500" y="2247900"/>
          <a:ext cx="1485900" cy="571499"/>
        </a:xfrm>
        <a:prstGeom prst="roundRect">
          <a:avLst/>
        </a:prstGeom>
        <a:solidFill>
          <a:schemeClr val="bg1"/>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b="1"/>
            <a:t>Total</a:t>
          </a:r>
          <a:r>
            <a:rPr lang="en-US" sz="1100" b="1" baseline="0"/>
            <a:t> Amount</a:t>
          </a:r>
          <a:endParaRPr lang="en-US" sz="1100" b="1"/>
        </a:p>
      </xdr:txBody>
    </xdr:sp>
    <xdr:clientData/>
  </xdr:twoCellAnchor>
  <xdr:twoCellAnchor>
    <xdr:from>
      <xdr:col>6</xdr:col>
      <xdr:colOff>76200</xdr:colOff>
      <xdr:row>15</xdr:row>
      <xdr:rowOff>66675</xdr:rowOff>
    </xdr:from>
    <xdr:to>
      <xdr:col>8</xdr:col>
      <xdr:colOff>466725</xdr:colOff>
      <xdr:row>18</xdr:row>
      <xdr:rowOff>72390</xdr:rowOff>
    </xdr:to>
    <xdr:sp macro="" textlink="">
      <xdr:nvSpPr>
        <xdr:cNvPr id="17" name="Rectangle: Rounded Corners 16">
          <a:extLst>
            <a:ext uri="{FF2B5EF4-FFF2-40B4-BE49-F238E27FC236}">
              <a16:creationId xmlns:a16="http://schemas.microsoft.com/office/drawing/2014/main" xmlns="" id="{F498A689-8E65-4C03-8B20-22A71C8F143C}"/>
            </a:ext>
          </a:extLst>
        </xdr:cNvPr>
        <xdr:cNvSpPr/>
      </xdr:nvSpPr>
      <xdr:spPr>
        <a:xfrm>
          <a:off x="3733800" y="2228850"/>
          <a:ext cx="1609725" cy="577215"/>
        </a:xfrm>
        <a:prstGeom prst="roundRect">
          <a:avLst/>
        </a:prstGeom>
        <a:solidFill>
          <a:srgbClr val="FFC000"/>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228600</xdr:colOff>
      <xdr:row>15</xdr:row>
      <xdr:rowOff>76200</xdr:rowOff>
    </xdr:from>
    <xdr:to>
      <xdr:col>8</xdr:col>
      <xdr:colOff>466725</xdr:colOff>
      <xdr:row>18</xdr:row>
      <xdr:rowOff>66675</xdr:rowOff>
    </xdr:to>
    <xdr:sp macro="" textlink="">
      <xdr:nvSpPr>
        <xdr:cNvPr id="20" name="Rectangle: Rounded Corners 19">
          <a:extLst>
            <a:ext uri="{FF2B5EF4-FFF2-40B4-BE49-F238E27FC236}">
              <a16:creationId xmlns:a16="http://schemas.microsoft.com/office/drawing/2014/main" xmlns="" id="{2D6D29F0-2D5E-488D-9CC5-1C9CBB750044}"/>
            </a:ext>
          </a:extLst>
        </xdr:cNvPr>
        <xdr:cNvSpPr/>
      </xdr:nvSpPr>
      <xdr:spPr>
        <a:xfrm>
          <a:off x="3886200" y="2238375"/>
          <a:ext cx="1457325" cy="561975"/>
        </a:xfrm>
        <a:prstGeom prst="roundRect">
          <a:avLst/>
        </a:prstGeom>
        <a:solidFill>
          <a:schemeClr val="bg1"/>
        </a:solid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100" b="1"/>
            <a:t>Total Sales</a:t>
          </a:r>
        </a:p>
      </xdr:txBody>
    </xdr:sp>
    <xdr:clientData/>
  </xdr:twoCellAnchor>
  <xdr:twoCellAnchor>
    <xdr:from>
      <xdr:col>3</xdr:col>
      <xdr:colOff>266701</xdr:colOff>
      <xdr:row>10</xdr:row>
      <xdr:rowOff>38100</xdr:rowOff>
    </xdr:from>
    <xdr:to>
      <xdr:col>5</xdr:col>
      <xdr:colOff>171451</xdr:colOff>
      <xdr:row>15</xdr:row>
      <xdr:rowOff>47625</xdr:rowOff>
    </xdr:to>
    <xdr:sp macro="" textlink="">
      <xdr:nvSpPr>
        <xdr:cNvPr id="21" name="Rectangle 20">
          <a:extLst>
            <a:ext uri="{FF2B5EF4-FFF2-40B4-BE49-F238E27FC236}">
              <a16:creationId xmlns:a16="http://schemas.microsoft.com/office/drawing/2014/main" xmlns="" id="{3B9CC605-077D-C64B-3A02-B7BD796D49A0}"/>
            </a:ext>
          </a:extLst>
        </xdr:cNvPr>
        <xdr:cNvSpPr/>
      </xdr:nvSpPr>
      <xdr:spPr>
        <a:xfrm>
          <a:off x="3314701" y="1943100"/>
          <a:ext cx="1123950" cy="266700"/>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rPr>
            <a:t>Analytics</a:t>
          </a:r>
        </a:p>
      </xdr:txBody>
    </xdr:sp>
    <xdr:clientData/>
  </xdr:twoCellAnchor>
  <xdr:twoCellAnchor editAs="oneCell">
    <xdr:from>
      <xdr:col>3</xdr:col>
      <xdr:colOff>114300</xdr:colOff>
      <xdr:row>10</xdr:row>
      <xdr:rowOff>62865</xdr:rowOff>
    </xdr:from>
    <xdr:to>
      <xdr:col>3</xdr:col>
      <xdr:colOff>413385</xdr:colOff>
      <xdr:row>15</xdr:row>
      <xdr:rowOff>104775</xdr:rowOff>
    </xdr:to>
    <xdr:pic>
      <xdr:nvPicPr>
        <xdr:cNvPr id="28" name="Graphic 27" descr="Bar chart">
          <a:extLst>
            <a:ext uri="{FF2B5EF4-FFF2-40B4-BE49-F238E27FC236}">
              <a16:creationId xmlns:a16="http://schemas.microsoft.com/office/drawing/2014/main" xmlns="" id="{9393A181-0189-4721-9190-A6EE2DBF6EA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3162300" y="1967865"/>
          <a:ext cx="299085" cy="299085"/>
        </a:xfrm>
        <a:prstGeom prst="rect">
          <a:avLst/>
        </a:prstGeom>
      </xdr:spPr>
    </xdr:pic>
    <xdr:clientData/>
  </xdr:twoCellAnchor>
  <xdr:twoCellAnchor>
    <xdr:from>
      <xdr:col>3</xdr:col>
      <xdr:colOff>85725</xdr:colOff>
      <xdr:row>18</xdr:row>
      <xdr:rowOff>114301</xdr:rowOff>
    </xdr:from>
    <xdr:to>
      <xdr:col>8</xdr:col>
      <xdr:colOff>542925</xdr:colOff>
      <xdr:row>25</xdr:row>
      <xdr:rowOff>123825</xdr:rowOff>
    </xdr:to>
    <xdr:graphicFrame macro="">
      <xdr:nvGraphicFramePr>
        <xdr:cNvPr id="8" name="Chart 7">
          <a:extLst>
            <a:ext uri="{FF2B5EF4-FFF2-40B4-BE49-F238E27FC236}">
              <a16:creationId xmlns:a16="http://schemas.microsoft.com/office/drawing/2014/main" xmlns="" id="{F4175D1E-F9F0-4109-A1A8-65A306499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95251</xdr:colOff>
      <xdr:row>6</xdr:row>
      <xdr:rowOff>108584</xdr:rowOff>
    </xdr:from>
    <xdr:to>
      <xdr:col>20</xdr:col>
      <xdr:colOff>66675</xdr:colOff>
      <xdr:row>10</xdr:row>
      <xdr:rowOff>51434</xdr:rowOff>
    </xdr:to>
    <mc:AlternateContent xmlns:mc="http://schemas.openxmlformats.org/markup-compatibility/2006" xmlns:a14="http://schemas.microsoft.com/office/drawing/2010/main">
      <mc:Choice Requires="a14">
        <xdr:graphicFrame macro="">
          <xdr:nvGraphicFramePr>
            <xdr:cNvPr id="11" name="Item 1">
              <a:extLst>
                <a:ext uri="{FF2B5EF4-FFF2-40B4-BE49-F238E27FC236}">
                  <a16:creationId xmlns:a16="http://schemas.microsoft.com/office/drawing/2014/main" xmlns="" id="{724B195F-DF1F-4509-B416-651C22DA863B}"/>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143251" y="1251584"/>
              <a:ext cx="10334624" cy="704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361948</xdr:colOff>
      <xdr:row>0</xdr:row>
      <xdr:rowOff>163830</xdr:rowOff>
    </xdr:from>
    <xdr:to>
      <xdr:col>20</xdr:col>
      <xdr:colOff>114299</xdr:colOff>
      <xdr:row>6</xdr:row>
      <xdr:rowOff>38100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xmlns="" id="{CC664F66-C497-4697-8B7B-C9A76E70A33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05948" y="163830"/>
              <a:ext cx="4019551" cy="1017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323851</xdr:colOff>
      <xdr:row>15</xdr:row>
      <xdr:rowOff>85725</xdr:rowOff>
    </xdr:from>
    <xdr:to>
      <xdr:col>20</xdr:col>
      <xdr:colOff>95251</xdr:colOff>
      <xdr:row>25</xdr:row>
      <xdr:rowOff>114300</xdr:rowOff>
    </xdr:to>
    <xdr:graphicFrame macro="">
      <xdr:nvGraphicFramePr>
        <xdr:cNvPr id="19" name="Chart 18">
          <a:extLst>
            <a:ext uri="{FF2B5EF4-FFF2-40B4-BE49-F238E27FC236}">
              <a16:creationId xmlns:a16="http://schemas.microsoft.com/office/drawing/2014/main" xmlns="" id="{1CC3E0BE-4EE4-4B5B-BB1E-E9FA8AB8A4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100965</xdr:colOff>
      <xdr:row>1</xdr:row>
      <xdr:rowOff>34290</xdr:rowOff>
    </xdr:from>
    <xdr:to>
      <xdr:col>13</xdr:col>
      <xdr:colOff>133350</xdr:colOff>
      <xdr:row>6</xdr:row>
      <xdr:rowOff>5715</xdr:rowOff>
    </xdr:to>
    <mc:AlternateContent xmlns:mc="http://schemas.openxmlformats.org/markup-compatibility/2006" xmlns:tsle="http://schemas.microsoft.com/office/drawing/2012/timeslicer">
      <mc:Choice Requires="tsle">
        <xdr:graphicFrame macro="">
          <xdr:nvGraphicFramePr>
            <xdr:cNvPr id="27" name="Date 1">
              <a:extLst>
                <a:ext uri="{FF2B5EF4-FFF2-40B4-BE49-F238E27FC236}">
                  <a16:creationId xmlns:a16="http://schemas.microsoft.com/office/drawing/2014/main" xmlns="" id="{F853D0A7-1EE1-44D6-8452-DE8EA428A256}"/>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3148965" y="224790"/>
              <a:ext cx="612838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9</xdr:col>
      <xdr:colOff>171450</xdr:colOff>
      <xdr:row>15</xdr:row>
      <xdr:rowOff>104775</xdr:rowOff>
    </xdr:from>
    <xdr:to>
      <xdr:col>15</xdr:col>
      <xdr:colOff>161925</xdr:colOff>
      <xdr:row>25</xdr:row>
      <xdr:rowOff>100965</xdr:rowOff>
    </xdr:to>
    <xdr:graphicFrame macro="">
      <xdr:nvGraphicFramePr>
        <xdr:cNvPr id="29" name="Chart 28">
          <a:extLst>
            <a:ext uri="{FF2B5EF4-FFF2-40B4-BE49-F238E27FC236}">
              <a16:creationId xmlns:a16="http://schemas.microsoft.com/office/drawing/2014/main" xmlns="" id="{9846823A-529F-4EE7-924A-E8E969064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295275</xdr:colOff>
      <xdr:row>16</xdr:row>
      <xdr:rowOff>104775</xdr:rowOff>
    </xdr:from>
    <xdr:to>
      <xdr:col>4</xdr:col>
      <xdr:colOff>9524</xdr:colOff>
      <xdr:row>18</xdr:row>
      <xdr:rowOff>56877</xdr:rowOff>
    </xdr:to>
    <xdr:pic>
      <xdr:nvPicPr>
        <xdr:cNvPr id="14" name="Graphic 13" descr="Rupee">
          <a:extLst>
            <a:ext uri="{FF2B5EF4-FFF2-40B4-BE49-F238E27FC236}">
              <a16:creationId xmlns:a16="http://schemas.microsoft.com/office/drawing/2014/main" xmlns="" id="{19CAC8E1-7538-E017-F245-EF96296729B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xmlns="" r:embed="rId11"/>
            </a:ext>
          </a:extLst>
        </a:blip>
        <a:stretch>
          <a:fillRect/>
        </a:stretch>
      </xdr:blipFill>
      <xdr:spPr>
        <a:xfrm>
          <a:off x="3343275" y="2457450"/>
          <a:ext cx="323849" cy="333102"/>
        </a:xfrm>
        <a:prstGeom prst="rect">
          <a:avLst/>
        </a:prstGeom>
      </xdr:spPr>
    </xdr:pic>
    <xdr:clientData/>
  </xdr:twoCellAnchor>
  <xdr:twoCellAnchor editAs="oneCell">
    <xdr:from>
      <xdr:col>6</xdr:col>
      <xdr:colOff>266701</xdr:colOff>
      <xdr:row>15</xdr:row>
      <xdr:rowOff>180976</xdr:rowOff>
    </xdr:from>
    <xdr:to>
      <xdr:col>7</xdr:col>
      <xdr:colOff>123825</xdr:colOff>
      <xdr:row>18</xdr:row>
      <xdr:rowOff>76200</xdr:rowOff>
    </xdr:to>
    <xdr:pic>
      <xdr:nvPicPr>
        <xdr:cNvPr id="23" name="Graphic 22" descr="Business Growth">
          <a:extLst>
            <a:ext uri="{FF2B5EF4-FFF2-40B4-BE49-F238E27FC236}">
              <a16:creationId xmlns:a16="http://schemas.microsoft.com/office/drawing/2014/main" xmlns="" id="{DA4FC20A-A2B2-7AFD-E9FC-0558C1AB415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xmlns="" r:embed="rId13"/>
            </a:ext>
          </a:extLst>
        </a:blip>
        <a:stretch>
          <a:fillRect/>
        </a:stretch>
      </xdr:blipFill>
      <xdr:spPr>
        <a:xfrm>
          <a:off x="5143501" y="2343151"/>
          <a:ext cx="466724" cy="466724"/>
        </a:xfrm>
        <a:prstGeom prst="rect">
          <a:avLst/>
        </a:prstGeom>
      </xdr:spPr>
    </xdr:pic>
    <xdr:clientData/>
  </xdr:twoCellAnchor>
  <xdr:twoCellAnchor>
    <xdr:from>
      <xdr:col>3</xdr:col>
      <xdr:colOff>523874</xdr:colOff>
      <xdr:row>16</xdr:row>
      <xdr:rowOff>123825</xdr:rowOff>
    </xdr:from>
    <xdr:to>
      <xdr:col>5</xdr:col>
      <xdr:colOff>514350</xdr:colOff>
      <xdr:row>18</xdr:row>
      <xdr:rowOff>28575</xdr:rowOff>
    </xdr:to>
    <xdr:sp macro="" textlink="'Pivot Table'!D134">
      <xdr:nvSpPr>
        <xdr:cNvPr id="24" name="Rectangle 23">
          <a:extLst>
            <a:ext uri="{FF2B5EF4-FFF2-40B4-BE49-F238E27FC236}">
              <a16:creationId xmlns:a16="http://schemas.microsoft.com/office/drawing/2014/main" xmlns="" id="{C19CFF25-F8C0-413C-9BF8-B3CBF0A10665}"/>
            </a:ext>
          </a:extLst>
        </xdr:cNvPr>
        <xdr:cNvSpPr/>
      </xdr:nvSpPr>
      <xdr:spPr>
        <a:xfrm>
          <a:off x="2352674" y="2476500"/>
          <a:ext cx="1209676" cy="285750"/>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AC9FEA79-5ADC-45B9-8D9C-AAE6AFCBE54E}"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 17,82,570 </a:t>
          </a:fld>
          <a:endParaRPr lang="en-US" sz="1600" b="1" cap="none" spc="0">
            <a:ln w="0"/>
            <a:effectLst>
              <a:outerShdw blurRad="38100" dist="19050" dir="2700000" algn="tl" rotWithShape="0">
                <a:schemeClr val="dk1">
                  <a:alpha val="40000"/>
                </a:schemeClr>
              </a:outerShdw>
            </a:effectLst>
          </a:endParaRPr>
        </a:p>
      </xdr:txBody>
    </xdr:sp>
    <xdr:clientData/>
  </xdr:twoCellAnchor>
  <xdr:twoCellAnchor>
    <xdr:from>
      <xdr:col>7</xdr:col>
      <xdr:colOff>123825</xdr:colOff>
      <xdr:row>16</xdr:row>
      <xdr:rowOff>114299</xdr:rowOff>
    </xdr:from>
    <xdr:to>
      <xdr:col>8</xdr:col>
      <xdr:colOff>228600</xdr:colOff>
      <xdr:row>18</xdr:row>
      <xdr:rowOff>28575</xdr:rowOff>
    </xdr:to>
    <xdr:sp macro="" textlink="'Pivot Table'!G133">
      <xdr:nvSpPr>
        <xdr:cNvPr id="25" name="Rectangle 24">
          <a:extLst>
            <a:ext uri="{FF2B5EF4-FFF2-40B4-BE49-F238E27FC236}">
              <a16:creationId xmlns:a16="http://schemas.microsoft.com/office/drawing/2014/main" xmlns="" id="{006FB958-6710-40C2-9314-7BEC209422CC}"/>
            </a:ext>
          </a:extLst>
        </xdr:cNvPr>
        <xdr:cNvSpPr/>
      </xdr:nvSpPr>
      <xdr:spPr>
        <a:xfrm>
          <a:off x="4391025" y="2466974"/>
          <a:ext cx="714375" cy="295276"/>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916C3CED-01C9-4CE2-8486-CFB8F08EEA93}" type="TxLink">
            <a:rPr lang="en-US" sz="1600" b="1" i="0" u="none" strike="noStrike" cap="none" spc="0">
              <a:ln w="0"/>
              <a:solidFill>
                <a:srgbClr val="000000"/>
              </a:solidFill>
              <a:effectLst>
                <a:outerShdw blurRad="38100" dist="19050" dir="2700000" algn="tl" rotWithShape="0">
                  <a:schemeClr val="dk1">
                    <a:alpha val="40000"/>
                  </a:schemeClr>
                </a:outerShdw>
              </a:effectLst>
              <a:latin typeface="Calibri"/>
              <a:cs typeface="Calibri"/>
            </a:rPr>
            <a:pPr algn="ctr"/>
            <a:t> 1,607 </a:t>
          </a:fld>
          <a:endPar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endParaRPr>
        </a:p>
      </xdr:txBody>
    </xdr:sp>
    <xdr:clientData/>
  </xdr:twoCellAnchor>
  <xdr:twoCellAnchor>
    <xdr:from>
      <xdr:col>6</xdr:col>
      <xdr:colOff>472440</xdr:colOff>
      <xdr:row>18</xdr:row>
      <xdr:rowOff>160020</xdr:rowOff>
    </xdr:from>
    <xdr:to>
      <xdr:col>8</xdr:col>
      <xdr:colOff>457200</xdr:colOff>
      <xdr:row>20</xdr:row>
      <xdr:rowOff>121920</xdr:rowOff>
    </xdr:to>
    <xdr:sp macro="" textlink="">
      <xdr:nvSpPr>
        <xdr:cNvPr id="13" name="Rectangle: Rounded Corners 12">
          <a:extLst>
            <a:ext uri="{FF2B5EF4-FFF2-40B4-BE49-F238E27FC236}">
              <a16:creationId xmlns:a16="http://schemas.microsoft.com/office/drawing/2014/main" xmlns="" id="{8E08A1BF-0D7B-4E71-B637-8C3DF614A582}"/>
            </a:ext>
          </a:extLst>
        </xdr:cNvPr>
        <xdr:cNvSpPr/>
      </xdr:nvSpPr>
      <xdr:spPr>
        <a:xfrm>
          <a:off x="4130040" y="2788920"/>
          <a:ext cx="1203960" cy="3276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a:t>
          </a:r>
          <a:r>
            <a:rPr lang="en-IN" sz="1100" b="1" baseline="0">
              <a:solidFill>
                <a:sysClr val="windowText" lastClr="000000"/>
              </a:solidFill>
            </a:rPr>
            <a:t> by Product</a:t>
          </a:r>
          <a:endParaRPr lang="en-IN" sz="1100" b="1">
            <a:solidFill>
              <a:sysClr val="windowText" lastClr="000000"/>
            </a:solidFill>
          </a:endParaRPr>
        </a:p>
      </xdr:txBody>
    </xdr:sp>
    <xdr:clientData/>
  </xdr:twoCellAnchor>
  <xdr:twoCellAnchor>
    <xdr:from>
      <xdr:col>11</xdr:col>
      <xdr:colOff>236220</xdr:colOff>
      <xdr:row>16</xdr:row>
      <xdr:rowOff>38100</xdr:rowOff>
    </xdr:from>
    <xdr:to>
      <xdr:col>13</xdr:col>
      <xdr:colOff>220980</xdr:colOff>
      <xdr:row>18</xdr:row>
      <xdr:rowOff>0</xdr:rowOff>
    </xdr:to>
    <xdr:sp macro="" textlink="">
      <xdr:nvSpPr>
        <xdr:cNvPr id="31" name="Rectangle: Rounded Corners 30">
          <a:extLst>
            <a:ext uri="{FF2B5EF4-FFF2-40B4-BE49-F238E27FC236}">
              <a16:creationId xmlns:a16="http://schemas.microsoft.com/office/drawing/2014/main" xmlns="" id="{FF442B58-75B2-4EBD-ACD0-7F1D1804B812}"/>
            </a:ext>
          </a:extLst>
        </xdr:cNvPr>
        <xdr:cNvSpPr/>
      </xdr:nvSpPr>
      <xdr:spPr>
        <a:xfrm>
          <a:off x="6941820" y="2301240"/>
          <a:ext cx="1203960" cy="3276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a:t>
          </a:r>
          <a:r>
            <a:rPr lang="en-IN" sz="1100" b="1" baseline="0">
              <a:solidFill>
                <a:sysClr val="windowText" lastClr="000000"/>
              </a:solidFill>
            </a:rPr>
            <a:t> by Months</a:t>
          </a:r>
          <a:endParaRPr lang="en-IN" sz="1100" b="1">
            <a:solidFill>
              <a:sysClr val="windowText" lastClr="000000"/>
            </a:solidFill>
          </a:endParaRPr>
        </a:p>
      </xdr:txBody>
    </xdr:sp>
    <xdr:clientData/>
  </xdr:twoCellAnchor>
  <xdr:twoCellAnchor>
    <xdr:from>
      <xdr:col>17</xdr:col>
      <xdr:colOff>381000</xdr:colOff>
      <xdr:row>15</xdr:row>
      <xdr:rowOff>152400</xdr:rowOff>
    </xdr:from>
    <xdr:to>
      <xdr:col>19</xdr:col>
      <xdr:colOff>365760</xdr:colOff>
      <xdr:row>17</xdr:row>
      <xdr:rowOff>114300</xdr:rowOff>
    </xdr:to>
    <xdr:sp macro="" textlink="">
      <xdr:nvSpPr>
        <xdr:cNvPr id="32" name="Rectangle: Rounded Corners 31">
          <a:extLst>
            <a:ext uri="{FF2B5EF4-FFF2-40B4-BE49-F238E27FC236}">
              <a16:creationId xmlns:a16="http://schemas.microsoft.com/office/drawing/2014/main" xmlns="" id="{2AADE199-D4AF-4297-B254-1A5921B3B470}"/>
            </a:ext>
          </a:extLst>
        </xdr:cNvPr>
        <xdr:cNvSpPr/>
      </xdr:nvSpPr>
      <xdr:spPr>
        <a:xfrm>
          <a:off x="10744200" y="2232660"/>
          <a:ext cx="1203960" cy="327660"/>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Sale</a:t>
          </a:r>
          <a:r>
            <a:rPr lang="en-IN" sz="1100" b="1" baseline="0">
              <a:solidFill>
                <a:sysClr val="windowText" lastClr="000000"/>
              </a:solidFill>
            </a:rPr>
            <a:t> by Region</a:t>
          </a:r>
          <a:endParaRPr lang="en-IN" sz="1100" b="1">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76200</xdr:colOff>
      <xdr:row>0</xdr:row>
      <xdr:rowOff>60484</xdr:rowOff>
    </xdr:from>
    <xdr:to>
      <xdr:col>20</xdr:col>
      <xdr:colOff>238125</xdr:colOff>
      <xdr:row>26</xdr:row>
      <xdr:rowOff>76201</xdr:rowOff>
    </xdr:to>
    <xdr:sp macro="" textlink="">
      <xdr:nvSpPr>
        <xdr:cNvPr id="2" name="Rectangle: Rounded Corners 1">
          <a:extLst>
            <a:ext uri="{FF2B5EF4-FFF2-40B4-BE49-F238E27FC236}">
              <a16:creationId xmlns:a16="http://schemas.microsoft.com/office/drawing/2014/main" xmlns="" id="{06558EB9-041B-4222-8F1B-1A8D6A967630}"/>
            </a:ext>
          </a:extLst>
        </xdr:cNvPr>
        <xdr:cNvSpPr/>
      </xdr:nvSpPr>
      <xdr:spPr>
        <a:xfrm>
          <a:off x="1295400" y="60484"/>
          <a:ext cx="12353925" cy="4273392"/>
        </a:xfrm>
        <a:prstGeom prst="roundRect">
          <a:avLst>
            <a:gd name="adj" fmla="val 22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0</xdr:row>
      <xdr:rowOff>100965</xdr:rowOff>
    </xdr:from>
    <xdr:to>
      <xdr:col>20</xdr:col>
      <xdr:colOff>152400</xdr:colOff>
      <xdr:row>26</xdr:row>
      <xdr:rowOff>9525</xdr:rowOff>
    </xdr:to>
    <xdr:sp macro="" textlink="">
      <xdr:nvSpPr>
        <xdr:cNvPr id="3" name="Rectangle: Rounded Corners 2">
          <a:extLst>
            <a:ext uri="{FF2B5EF4-FFF2-40B4-BE49-F238E27FC236}">
              <a16:creationId xmlns:a16="http://schemas.microsoft.com/office/drawing/2014/main" xmlns="" id="{E9E8329E-EBFD-4897-BFD2-957248870493}"/>
            </a:ext>
          </a:extLst>
        </xdr:cNvPr>
        <xdr:cNvSpPr/>
      </xdr:nvSpPr>
      <xdr:spPr>
        <a:xfrm>
          <a:off x="1866900" y="100965"/>
          <a:ext cx="10477500" cy="4000500"/>
        </a:xfrm>
        <a:prstGeom prst="roundRect">
          <a:avLst>
            <a:gd name="adj" fmla="val 1234"/>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169545</xdr:colOff>
      <xdr:row>7</xdr:row>
      <xdr:rowOff>43815</xdr:rowOff>
    </xdr:from>
    <xdr:to>
      <xdr:col>2</xdr:col>
      <xdr:colOff>527685</xdr:colOff>
      <xdr:row>9</xdr:row>
      <xdr:rowOff>173355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xmlns="" id="{D9A486E4-5E51-42F9-A809-C37E298A701F}"/>
            </a:ext>
          </a:extLst>
        </xdr:cNvPr>
        <xdr:cNvSpPr/>
      </xdr:nvSpPr>
      <xdr:spPr>
        <a:xfrm>
          <a:off x="1388745" y="1377315"/>
          <a:ext cx="1577340" cy="5105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DASHBOARD</a:t>
          </a:r>
        </a:p>
      </xdr:txBody>
    </xdr:sp>
    <xdr:clientData/>
  </xdr:twoCellAnchor>
  <xdr:twoCellAnchor>
    <xdr:from>
      <xdr:col>0</xdr:col>
      <xdr:colOff>152399</xdr:colOff>
      <xdr:row>10</xdr:row>
      <xdr:rowOff>55245</xdr:rowOff>
    </xdr:from>
    <xdr:to>
      <xdr:col>2</xdr:col>
      <xdr:colOff>501014</xdr:colOff>
      <xdr:row>16</xdr:row>
      <xdr:rowOff>118110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xmlns="" id="{5EF4EEE6-62C1-419E-A554-E1F3F83C3405}"/>
            </a:ext>
          </a:extLst>
        </xdr:cNvPr>
        <xdr:cNvSpPr/>
      </xdr:nvSpPr>
      <xdr:spPr>
        <a:xfrm>
          <a:off x="1371599" y="1960245"/>
          <a:ext cx="1567815" cy="510540"/>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PRODUCT</a:t>
          </a:r>
        </a:p>
      </xdr:txBody>
    </xdr:sp>
    <xdr:clientData/>
  </xdr:twoCellAnchor>
  <xdr:twoCellAnchor>
    <xdr:from>
      <xdr:col>0</xdr:col>
      <xdr:colOff>108585</xdr:colOff>
      <xdr:row>17</xdr:row>
      <xdr:rowOff>1905</xdr:rowOff>
    </xdr:from>
    <xdr:to>
      <xdr:col>2</xdr:col>
      <xdr:colOff>497205</xdr:colOff>
      <xdr:row>19</xdr:row>
      <xdr:rowOff>139065</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xmlns="" id="{9BC1CEA7-C53E-4C6E-8A1D-4A291A08B0C2}"/>
            </a:ext>
          </a:extLst>
        </xdr:cNvPr>
        <xdr:cNvSpPr/>
      </xdr:nvSpPr>
      <xdr:spPr>
        <a:xfrm>
          <a:off x="1327785" y="2545080"/>
          <a:ext cx="1607820" cy="5181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SALESMANS</a:t>
          </a:r>
        </a:p>
      </xdr:txBody>
    </xdr:sp>
    <xdr:clientData/>
  </xdr:twoCellAnchor>
  <xdr:twoCellAnchor>
    <xdr:from>
      <xdr:col>0</xdr:col>
      <xdr:colOff>104775</xdr:colOff>
      <xdr:row>20</xdr:row>
      <xdr:rowOff>51435</xdr:rowOff>
    </xdr:from>
    <xdr:to>
      <xdr:col>2</xdr:col>
      <xdr:colOff>440055</xdr:colOff>
      <xdr:row>22</xdr:row>
      <xdr:rowOff>188595</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xmlns="" id="{7214F0EF-F90D-42B6-912E-5775EA56524D}"/>
            </a:ext>
          </a:extLst>
        </xdr:cNvPr>
        <xdr:cNvSpPr/>
      </xdr:nvSpPr>
      <xdr:spPr>
        <a:xfrm>
          <a:off x="1323975" y="3166110"/>
          <a:ext cx="1554480" cy="5181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ABOUT</a:t>
          </a:r>
          <a:r>
            <a:rPr lang="en-US" sz="1800" b="1" baseline="0"/>
            <a:t> US</a:t>
          </a:r>
          <a:endParaRPr lang="en-US" sz="1800" b="1"/>
        </a:p>
      </xdr:txBody>
    </xdr:sp>
    <xdr:clientData/>
  </xdr:twoCellAnchor>
  <xdr:twoCellAnchor>
    <xdr:from>
      <xdr:col>13</xdr:col>
      <xdr:colOff>333374</xdr:colOff>
      <xdr:row>0</xdr:row>
      <xdr:rowOff>154305</xdr:rowOff>
    </xdr:from>
    <xdr:to>
      <xdr:col>20</xdr:col>
      <xdr:colOff>114300</xdr:colOff>
      <xdr:row>6</xdr:row>
      <xdr:rowOff>47625</xdr:rowOff>
    </xdr:to>
    <xdr:sp macro="" textlink="">
      <xdr:nvSpPr>
        <xdr:cNvPr id="8" name="Rectangle 7">
          <a:extLst>
            <a:ext uri="{FF2B5EF4-FFF2-40B4-BE49-F238E27FC236}">
              <a16:creationId xmlns:a16="http://schemas.microsoft.com/office/drawing/2014/main" xmlns="" id="{B557E62C-D573-4185-83C4-B404870E7D15}"/>
            </a:ext>
          </a:extLst>
        </xdr:cNvPr>
        <xdr:cNvSpPr/>
      </xdr:nvSpPr>
      <xdr:spPr>
        <a:xfrm>
          <a:off x="9477374" y="154305"/>
          <a:ext cx="4048126" cy="103632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95251</xdr:colOff>
      <xdr:row>6</xdr:row>
      <xdr:rowOff>108584</xdr:rowOff>
    </xdr:from>
    <xdr:to>
      <xdr:col>20</xdr:col>
      <xdr:colOff>100965</xdr:colOff>
      <xdr:row>10</xdr:row>
      <xdr:rowOff>38100</xdr:rowOff>
    </xdr:to>
    <xdr:sp macro="" textlink="">
      <xdr:nvSpPr>
        <xdr:cNvPr id="9" name="Rectangle 8">
          <a:extLst>
            <a:ext uri="{FF2B5EF4-FFF2-40B4-BE49-F238E27FC236}">
              <a16:creationId xmlns:a16="http://schemas.microsoft.com/office/drawing/2014/main" xmlns="" id="{960B24A3-0F3C-4950-9890-1D58511F5434}"/>
            </a:ext>
          </a:extLst>
        </xdr:cNvPr>
        <xdr:cNvSpPr/>
      </xdr:nvSpPr>
      <xdr:spPr>
        <a:xfrm>
          <a:off x="3143251" y="1251584"/>
          <a:ext cx="10368914" cy="69151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81915</xdr:colOff>
      <xdr:row>0</xdr:row>
      <xdr:rowOff>158115</xdr:rowOff>
    </xdr:from>
    <xdr:to>
      <xdr:col>13</xdr:col>
      <xdr:colOff>257175</xdr:colOff>
      <xdr:row>6</xdr:row>
      <xdr:rowOff>47625</xdr:rowOff>
    </xdr:to>
    <xdr:sp macro="" textlink="">
      <xdr:nvSpPr>
        <xdr:cNvPr id="10" name="Rectangle 9">
          <a:extLst>
            <a:ext uri="{FF2B5EF4-FFF2-40B4-BE49-F238E27FC236}">
              <a16:creationId xmlns:a16="http://schemas.microsoft.com/office/drawing/2014/main" xmlns="" id="{CB8835B7-E737-4BC2-AF3B-8D8A3DE43801}"/>
            </a:ext>
          </a:extLst>
        </xdr:cNvPr>
        <xdr:cNvSpPr/>
      </xdr:nvSpPr>
      <xdr:spPr>
        <a:xfrm>
          <a:off x="3129915" y="158115"/>
          <a:ext cx="6271260" cy="103251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266701</xdr:colOff>
      <xdr:row>10</xdr:row>
      <xdr:rowOff>38100</xdr:rowOff>
    </xdr:from>
    <xdr:to>
      <xdr:col>5</xdr:col>
      <xdr:colOff>171451</xdr:colOff>
      <xdr:row>15</xdr:row>
      <xdr:rowOff>47625</xdr:rowOff>
    </xdr:to>
    <xdr:sp macro="" textlink="">
      <xdr:nvSpPr>
        <xdr:cNvPr id="21" name="Rectangle 20">
          <a:extLst>
            <a:ext uri="{FF2B5EF4-FFF2-40B4-BE49-F238E27FC236}">
              <a16:creationId xmlns:a16="http://schemas.microsoft.com/office/drawing/2014/main" xmlns="" id="{CD64E858-E70E-4367-A19F-6621120405E5}"/>
            </a:ext>
          </a:extLst>
        </xdr:cNvPr>
        <xdr:cNvSpPr/>
      </xdr:nvSpPr>
      <xdr:spPr>
        <a:xfrm>
          <a:off x="3314701" y="1943100"/>
          <a:ext cx="1123950" cy="266700"/>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endParaRPr>
        </a:p>
      </xdr:txBody>
    </xdr:sp>
    <xdr:clientData/>
  </xdr:twoCellAnchor>
  <xdr:twoCellAnchor editAs="oneCell">
    <xdr:from>
      <xdr:col>3</xdr:col>
      <xdr:colOff>104775</xdr:colOff>
      <xdr:row>14</xdr:row>
      <xdr:rowOff>9525</xdr:rowOff>
    </xdr:from>
    <xdr:to>
      <xdr:col>3</xdr:col>
      <xdr:colOff>403860</xdr:colOff>
      <xdr:row>15</xdr:row>
      <xdr:rowOff>123825</xdr:rowOff>
    </xdr:to>
    <xdr:pic>
      <xdr:nvPicPr>
        <xdr:cNvPr id="15" name="Graphic 14" descr="Bar chart">
          <a:extLst>
            <a:ext uri="{FF2B5EF4-FFF2-40B4-BE49-F238E27FC236}">
              <a16:creationId xmlns:a16="http://schemas.microsoft.com/office/drawing/2014/main" xmlns="" id="{51ABCCB5-CE34-403D-8372-86FE0D30E47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3152775" y="1981200"/>
          <a:ext cx="299085" cy="304800"/>
        </a:xfrm>
        <a:prstGeom prst="rect">
          <a:avLst/>
        </a:prstGeom>
      </xdr:spPr>
    </xdr:pic>
    <xdr:clientData/>
  </xdr:twoCellAnchor>
  <xdr:twoCellAnchor>
    <xdr:from>
      <xdr:col>3</xdr:col>
      <xdr:colOff>428625</xdr:colOff>
      <xdr:row>10</xdr:row>
      <xdr:rowOff>57150</xdr:rowOff>
    </xdr:from>
    <xdr:to>
      <xdr:col>5</xdr:col>
      <xdr:colOff>228600</xdr:colOff>
      <xdr:row>15</xdr:row>
      <xdr:rowOff>70484</xdr:rowOff>
    </xdr:to>
    <xdr:sp macro="" textlink="">
      <xdr:nvSpPr>
        <xdr:cNvPr id="17" name="Rectangle 16">
          <a:extLst>
            <a:ext uri="{FF2B5EF4-FFF2-40B4-BE49-F238E27FC236}">
              <a16:creationId xmlns:a16="http://schemas.microsoft.com/office/drawing/2014/main" xmlns="" id="{EF63DBF9-2D53-4401-9A44-91DA01FA8CC1}"/>
            </a:ext>
          </a:extLst>
        </xdr:cNvPr>
        <xdr:cNvSpPr/>
      </xdr:nvSpPr>
      <xdr:spPr>
        <a:xfrm>
          <a:off x="3476625" y="1962150"/>
          <a:ext cx="1019175" cy="270509"/>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rPr>
            <a:t>Analytics</a:t>
          </a:r>
        </a:p>
      </xdr:txBody>
    </xdr:sp>
    <xdr:clientData/>
  </xdr:twoCellAnchor>
  <xdr:twoCellAnchor editAs="oneCell">
    <xdr:from>
      <xdr:col>3</xdr:col>
      <xdr:colOff>152400</xdr:colOff>
      <xdr:row>1</xdr:row>
      <xdr:rowOff>38100</xdr:rowOff>
    </xdr:from>
    <xdr:to>
      <xdr:col>13</xdr:col>
      <xdr:colOff>184785</xdr:colOff>
      <xdr:row>6</xdr:row>
      <xdr:rowOff>9525</xdr:rowOff>
    </xdr:to>
    <mc:AlternateContent xmlns:mc="http://schemas.openxmlformats.org/markup-compatibility/2006" xmlns:tsle="http://schemas.microsoft.com/office/drawing/2012/timeslicer">
      <mc:Choice Requires="tsle">
        <xdr:graphicFrame macro="">
          <xdr:nvGraphicFramePr>
            <xdr:cNvPr id="18" name="Date 2">
              <a:extLst>
                <a:ext uri="{FF2B5EF4-FFF2-40B4-BE49-F238E27FC236}">
                  <a16:creationId xmlns:a16="http://schemas.microsoft.com/office/drawing/2014/main" xmlns="" id="{57FB079B-D8E2-4FBD-9563-7D48F6AC3ED9}"/>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200400" y="228600"/>
              <a:ext cx="612838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333374</xdr:colOff>
      <xdr:row>0</xdr:row>
      <xdr:rowOff>154305</xdr:rowOff>
    </xdr:from>
    <xdr:to>
      <xdr:col>20</xdr:col>
      <xdr:colOff>85725</xdr:colOff>
      <xdr:row>6</xdr:row>
      <xdr:rowOff>28575</xdr:rowOff>
    </xdr:to>
    <mc:AlternateContent xmlns:mc="http://schemas.openxmlformats.org/markup-compatibility/2006" xmlns:a14="http://schemas.microsoft.com/office/drawing/2010/main">
      <mc:Choice Requires="a14">
        <xdr:graphicFrame macro="">
          <xdr:nvGraphicFramePr>
            <xdr:cNvPr id="19" name="Region 2">
              <a:extLst>
                <a:ext uri="{FF2B5EF4-FFF2-40B4-BE49-F238E27FC236}">
                  <a16:creationId xmlns:a16="http://schemas.microsoft.com/office/drawing/2014/main" xmlns="" id="{19804825-80C9-40DF-990D-FEF955B9433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477374" y="154305"/>
              <a:ext cx="4019551" cy="1017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95251</xdr:colOff>
      <xdr:row>6</xdr:row>
      <xdr:rowOff>108584</xdr:rowOff>
    </xdr:from>
    <xdr:to>
      <xdr:col>20</xdr:col>
      <xdr:colOff>104775</xdr:colOff>
      <xdr:row>11</xdr:row>
      <xdr:rowOff>0</xdr:rowOff>
    </xdr:to>
    <mc:AlternateContent xmlns:mc="http://schemas.openxmlformats.org/markup-compatibility/2006" xmlns:a14="http://schemas.microsoft.com/office/drawing/2010/main">
      <mc:Choice Requires="a14">
        <xdr:graphicFrame macro="">
          <xdr:nvGraphicFramePr>
            <xdr:cNvPr id="20" name="Item 3">
              <a:extLst>
                <a:ext uri="{FF2B5EF4-FFF2-40B4-BE49-F238E27FC236}">
                  <a16:creationId xmlns:a16="http://schemas.microsoft.com/office/drawing/2014/main" xmlns="" id="{6362DBF2-505D-4315-8543-CC1B43E8AF1A}"/>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3143251" y="1251584"/>
              <a:ext cx="10372724" cy="7200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95249</xdr:colOff>
      <xdr:row>15</xdr:row>
      <xdr:rowOff>129541</xdr:rowOff>
    </xdr:from>
    <xdr:to>
      <xdr:col>8</xdr:col>
      <xdr:colOff>85724</xdr:colOff>
      <xdr:row>25</xdr:row>
      <xdr:rowOff>161925</xdr:rowOff>
    </xdr:to>
    <xdr:graphicFrame macro="">
      <xdr:nvGraphicFramePr>
        <xdr:cNvPr id="22" name="Chart 21">
          <a:extLst>
            <a:ext uri="{FF2B5EF4-FFF2-40B4-BE49-F238E27FC236}">
              <a16:creationId xmlns:a16="http://schemas.microsoft.com/office/drawing/2014/main" xmlns="" id="{FA5433AB-8F71-4AA1-8CD9-E337A3E5C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14</xdr:col>
      <xdr:colOff>171449</xdr:colOff>
      <xdr:row>14</xdr:row>
      <xdr:rowOff>38100</xdr:rowOff>
    </xdr:from>
    <xdr:ext cx="3438525" cy="238125"/>
    <xdr:sp macro="" textlink="">
      <xdr:nvSpPr>
        <xdr:cNvPr id="26" name="TextBox 25">
          <a:extLst>
            <a:ext uri="{FF2B5EF4-FFF2-40B4-BE49-F238E27FC236}">
              <a16:creationId xmlns:a16="http://schemas.microsoft.com/office/drawing/2014/main" xmlns="" id="{63D9264D-FD9F-4520-A431-1FB41AA0E8A7}"/>
            </a:ext>
          </a:extLst>
        </xdr:cNvPr>
        <xdr:cNvSpPr txBox="1"/>
      </xdr:nvSpPr>
      <xdr:spPr>
        <a:xfrm>
          <a:off x="9925049" y="2009775"/>
          <a:ext cx="3438525" cy="238125"/>
        </a:xfrm>
        <a:prstGeom prst="rect">
          <a:avLst/>
        </a:prstGeom>
        <a:solidFill>
          <a:schemeClr val="accent1">
            <a:lumMod val="20000"/>
            <a:lumOff val="80000"/>
          </a:schemeClr>
        </a:solidFill>
        <a:ln>
          <a:solidFill>
            <a:schemeClr val="accent1">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baseline="0"/>
            <a:t>Bottom 3 selling product</a:t>
          </a:r>
          <a:endParaRPr lang="en-US" sz="1100" b="1"/>
        </a:p>
      </xdr:txBody>
    </xdr:sp>
    <xdr:clientData/>
  </xdr:oneCellAnchor>
  <xdr:oneCellAnchor>
    <xdr:from>
      <xdr:col>8</xdr:col>
      <xdr:colOff>542925</xdr:colOff>
      <xdr:row>14</xdr:row>
      <xdr:rowOff>28575</xdr:rowOff>
    </xdr:from>
    <xdr:ext cx="2571750" cy="257175"/>
    <xdr:sp macro="" textlink="">
      <xdr:nvSpPr>
        <xdr:cNvPr id="27" name="TextBox 26">
          <a:extLst>
            <a:ext uri="{FF2B5EF4-FFF2-40B4-BE49-F238E27FC236}">
              <a16:creationId xmlns:a16="http://schemas.microsoft.com/office/drawing/2014/main" xmlns="" id="{D7E7C0F2-9258-4B75-9D93-B8D5E80F7050}"/>
            </a:ext>
          </a:extLst>
        </xdr:cNvPr>
        <xdr:cNvSpPr txBox="1"/>
      </xdr:nvSpPr>
      <xdr:spPr>
        <a:xfrm>
          <a:off x="6638925" y="2000250"/>
          <a:ext cx="2571750" cy="257175"/>
        </a:xfrm>
        <a:prstGeom prst="rect">
          <a:avLst/>
        </a:prstGeom>
        <a:solidFill>
          <a:schemeClr val="accent1">
            <a:lumMod val="20000"/>
            <a:lumOff val="80000"/>
          </a:schemeClr>
        </a:solidFill>
        <a:ln>
          <a:solidFill>
            <a:schemeClr val="accent1">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Top</a:t>
          </a:r>
          <a:r>
            <a:rPr lang="en-US" sz="1100" b="1" baseline="0"/>
            <a:t> 3 selling product</a:t>
          </a:r>
          <a:endParaRPr lang="en-US" sz="1100" b="1"/>
        </a:p>
      </xdr:txBody>
    </xdr:sp>
    <xdr:clientData/>
  </xdr:oneCellAnchor>
  <xdr:twoCellAnchor>
    <xdr:from>
      <xdr:col>14</xdr:col>
      <xdr:colOff>106680</xdr:colOff>
      <xdr:row>15</xdr:row>
      <xdr:rowOff>129540</xdr:rowOff>
    </xdr:from>
    <xdr:to>
      <xdr:col>20</xdr:col>
      <xdr:colOff>83820</xdr:colOff>
      <xdr:row>25</xdr:row>
      <xdr:rowOff>110490</xdr:rowOff>
    </xdr:to>
    <xdr:graphicFrame macro="">
      <xdr:nvGraphicFramePr>
        <xdr:cNvPr id="31" name="Chart 30">
          <a:extLst>
            <a:ext uri="{FF2B5EF4-FFF2-40B4-BE49-F238E27FC236}">
              <a16:creationId xmlns:a16="http://schemas.microsoft.com/office/drawing/2014/main" xmlns="" id="{5E6864F9-20D9-464C-9F7A-D58DCB94A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137160</xdr:colOff>
      <xdr:row>15</xdr:row>
      <xdr:rowOff>129540</xdr:rowOff>
    </xdr:from>
    <xdr:to>
      <xdr:col>14</xdr:col>
      <xdr:colOff>68580</xdr:colOff>
      <xdr:row>25</xdr:row>
      <xdr:rowOff>135255</xdr:rowOff>
    </xdr:to>
    <xdr:graphicFrame macro="">
      <xdr:nvGraphicFramePr>
        <xdr:cNvPr id="32" name="Chart 31">
          <a:extLst>
            <a:ext uri="{FF2B5EF4-FFF2-40B4-BE49-F238E27FC236}">
              <a16:creationId xmlns:a16="http://schemas.microsoft.com/office/drawing/2014/main" xmlns="" id="{01224475-0497-44B3-A45E-47A3A470B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76200</xdr:colOff>
      <xdr:row>0</xdr:row>
      <xdr:rowOff>60484</xdr:rowOff>
    </xdr:from>
    <xdr:to>
      <xdr:col>20</xdr:col>
      <xdr:colOff>238125</xdr:colOff>
      <xdr:row>26</xdr:row>
      <xdr:rowOff>76201</xdr:rowOff>
    </xdr:to>
    <xdr:sp macro="" textlink="">
      <xdr:nvSpPr>
        <xdr:cNvPr id="2" name="Rectangle: Rounded Corners 1">
          <a:extLst>
            <a:ext uri="{FF2B5EF4-FFF2-40B4-BE49-F238E27FC236}">
              <a16:creationId xmlns:a16="http://schemas.microsoft.com/office/drawing/2014/main" xmlns="" id="{FC7B474D-BAD2-4867-A43E-B04B76FF01BD}"/>
            </a:ext>
          </a:extLst>
        </xdr:cNvPr>
        <xdr:cNvSpPr/>
      </xdr:nvSpPr>
      <xdr:spPr>
        <a:xfrm>
          <a:off x="1295400" y="60484"/>
          <a:ext cx="12353925" cy="4273392"/>
        </a:xfrm>
        <a:prstGeom prst="roundRect">
          <a:avLst>
            <a:gd name="adj" fmla="val 22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0</xdr:row>
      <xdr:rowOff>100965</xdr:rowOff>
    </xdr:from>
    <xdr:to>
      <xdr:col>20</xdr:col>
      <xdr:colOff>152400</xdr:colOff>
      <xdr:row>26</xdr:row>
      <xdr:rowOff>9525</xdr:rowOff>
    </xdr:to>
    <xdr:sp macro="" textlink="">
      <xdr:nvSpPr>
        <xdr:cNvPr id="3" name="Rectangle: Rounded Corners 2">
          <a:extLst>
            <a:ext uri="{FF2B5EF4-FFF2-40B4-BE49-F238E27FC236}">
              <a16:creationId xmlns:a16="http://schemas.microsoft.com/office/drawing/2014/main" xmlns="" id="{BDB9E235-7572-4813-AC4F-B3EDEFD05EE0}"/>
            </a:ext>
          </a:extLst>
        </xdr:cNvPr>
        <xdr:cNvSpPr/>
      </xdr:nvSpPr>
      <xdr:spPr>
        <a:xfrm>
          <a:off x="3086100" y="100965"/>
          <a:ext cx="10477500" cy="4166235"/>
        </a:xfrm>
        <a:prstGeom prst="roundRect">
          <a:avLst>
            <a:gd name="adj" fmla="val 1234"/>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169545</xdr:colOff>
      <xdr:row>7</xdr:row>
      <xdr:rowOff>43815</xdr:rowOff>
    </xdr:from>
    <xdr:to>
      <xdr:col>2</xdr:col>
      <xdr:colOff>527685</xdr:colOff>
      <xdr:row>9</xdr:row>
      <xdr:rowOff>173355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xmlns="" id="{33DC68E0-8D6F-4C68-863D-649D21A97A1A}"/>
            </a:ext>
          </a:extLst>
        </xdr:cNvPr>
        <xdr:cNvSpPr/>
      </xdr:nvSpPr>
      <xdr:spPr>
        <a:xfrm>
          <a:off x="1388745" y="1377315"/>
          <a:ext cx="1577340" cy="5105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DASHBOARD</a:t>
          </a:r>
        </a:p>
      </xdr:txBody>
    </xdr:sp>
    <xdr:clientData/>
  </xdr:twoCellAnchor>
  <xdr:twoCellAnchor>
    <xdr:from>
      <xdr:col>0</xdr:col>
      <xdr:colOff>152399</xdr:colOff>
      <xdr:row>10</xdr:row>
      <xdr:rowOff>55245</xdr:rowOff>
    </xdr:from>
    <xdr:to>
      <xdr:col>2</xdr:col>
      <xdr:colOff>501014</xdr:colOff>
      <xdr:row>16</xdr:row>
      <xdr:rowOff>118110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xmlns="" id="{CD6EE59B-E2B2-4DC3-B563-0FE6136FB8F4}"/>
            </a:ext>
          </a:extLst>
        </xdr:cNvPr>
        <xdr:cNvSpPr/>
      </xdr:nvSpPr>
      <xdr:spPr>
        <a:xfrm>
          <a:off x="1371599" y="1960245"/>
          <a:ext cx="1567815" cy="5105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PRODUCT</a:t>
          </a:r>
        </a:p>
      </xdr:txBody>
    </xdr:sp>
    <xdr:clientData/>
  </xdr:twoCellAnchor>
  <xdr:twoCellAnchor>
    <xdr:from>
      <xdr:col>0</xdr:col>
      <xdr:colOff>108585</xdr:colOff>
      <xdr:row>17</xdr:row>
      <xdr:rowOff>1905</xdr:rowOff>
    </xdr:from>
    <xdr:to>
      <xdr:col>2</xdr:col>
      <xdr:colOff>497205</xdr:colOff>
      <xdr:row>19</xdr:row>
      <xdr:rowOff>139065</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xmlns="" id="{C0EF160F-5831-425F-B3BB-89C643A29598}"/>
            </a:ext>
          </a:extLst>
        </xdr:cNvPr>
        <xdr:cNvSpPr/>
      </xdr:nvSpPr>
      <xdr:spPr>
        <a:xfrm>
          <a:off x="1327785" y="2545080"/>
          <a:ext cx="1607820" cy="518160"/>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SALESMANS</a:t>
          </a:r>
        </a:p>
      </xdr:txBody>
    </xdr:sp>
    <xdr:clientData/>
  </xdr:twoCellAnchor>
  <xdr:twoCellAnchor>
    <xdr:from>
      <xdr:col>0</xdr:col>
      <xdr:colOff>104775</xdr:colOff>
      <xdr:row>20</xdr:row>
      <xdr:rowOff>51435</xdr:rowOff>
    </xdr:from>
    <xdr:to>
      <xdr:col>2</xdr:col>
      <xdr:colOff>440055</xdr:colOff>
      <xdr:row>22</xdr:row>
      <xdr:rowOff>188595</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xmlns="" id="{CCA81B40-B257-41E6-A7F1-E1BE103DBD00}"/>
            </a:ext>
          </a:extLst>
        </xdr:cNvPr>
        <xdr:cNvSpPr/>
      </xdr:nvSpPr>
      <xdr:spPr>
        <a:xfrm>
          <a:off x="1323975" y="3166110"/>
          <a:ext cx="1554480" cy="5181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ABOUT</a:t>
          </a:r>
          <a:r>
            <a:rPr lang="en-US" sz="1800" b="1" baseline="0"/>
            <a:t> US</a:t>
          </a:r>
          <a:endParaRPr lang="en-US" sz="1800" b="1"/>
        </a:p>
      </xdr:txBody>
    </xdr:sp>
    <xdr:clientData/>
  </xdr:twoCellAnchor>
  <xdr:twoCellAnchor>
    <xdr:from>
      <xdr:col>13</xdr:col>
      <xdr:colOff>333374</xdr:colOff>
      <xdr:row>0</xdr:row>
      <xdr:rowOff>154305</xdr:rowOff>
    </xdr:from>
    <xdr:to>
      <xdr:col>20</xdr:col>
      <xdr:colOff>114300</xdr:colOff>
      <xdr:row>6</xdr:row>
      <xdr:rowOff>47625</xdr:rowOff>
    </xdr:to>
    <xdr:sp macro="" textlink="">
      <xdr:nvSpPr>
        <xdr:cNvPr id="8" name="Rectangle 7">
          <a:extLst>
            <a:ext uri="{FF2B5EF4-FFF2-40B4-BE49-F238E27FC236}">
              <a16:creationId xmlns:a16="http://schemas.microsoft.com/office/drawing/2014/main" xmlns="" id="{832B8CDD-4C4F-428B-8E3B-83A561B560F6}"/>
            </a:ext>
          </a:extLst>
        </xdr:cNvPr>
        <xdr:cNvSpPr/>
      </xdr:nvSpPr>
      <xdr:spPr>
        <a:xfrm>
          <a:off x="9477374" y="154305"/>
          <a:ext cx="4048126" cy="103632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95251</xdr:colOff>
      <xdr:row>6</xdr:row>
      <xdr:rowOff>108584</xdr:rowOff>
    </xdr:from>
    <xdr:to>
      <xdr:col>20</xdr:col>
      <xdr:colOff>100965</xdr:colOff>
      <xdr:row>10</xdr:row>
      <xdr:rowOff>38100</xdr:rowOff>
    </xdr:to>
    <xdr:sp macro="" textlink="">
      <xdr:nvSpPr>
        <xdr:cNvPr id="9" name="Rectangle 8">
          <a:extLst>
            <a:ext uri="{FF2B5EF4-FFF2-40B4-BE49-F238E27FC236}">
              <a16:creationId xmlns:a16="http://schemas.microsoft.com/office/drawing/2014/main" xmlns="" id="{B9230649-8C20-41F5-9579-96DBC0EB8278}"/>
            </a:ext>
          </a:extLst>
        </xdr:cNvPr>
        <xdr:cNvSpPr/>
      </xdr:nvSpPr>
      <xdr:spPr>
        <a:xfrm>
          <a:off x="3143251" y="1251584"/>
          <a:ext cx="10368914" cy="69151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81915</xdr:colOff>
      <xdr:row>0</xdr:row>
      <xdr:rowOff>158115</xdr:rowOff>
    </xdr:from>
    <xdr:to>
      <xdr:col>13</xdr:col>
      <xdr:colOff>257175</xdr:colOff>
      <xdr:row>6</xdr:row>
      <xdr:rowOff>47625</xdr:rowOff>
    </xdr:to>
    <xdr:sp macro="" textlink="">
      <xdr:nvSpPr>
        <xdr:cNvPr id="10" name="Rectangle 9">
          <a:extLst>
            <a:ext uri="{FF2B5EF4-FFF2-40B4-BE49-F238E27FC236}">
              <a16:creationId xmlns:a16="http://schemas.microsoft.com/office/drawing/2014/main" xmlns="" id="{7145E58C-2321-4CA4-B791-4F75F136F467}"/>
            </a:ext>
          </a:extLst>
        </xdr:cNvPr>
        <xdr:cNvSpPr/>
      </xdr:nvSpPr>
      <xdr:spPr>
        <a:xfrm>
          <a:off x="3129915" y="158115"/>
          <a:ext cx="6271260" cy="103251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314326</xdr:colOff>
      <xdr:row>15</xdr:row>
      <xdr:rowOff>95250</xdr:rowOff>
    </xdr:from>
    <xdr:to>
      <xdr:col>7</xdr:col>
      <xdr:colOff>219076</xdr:colOff>
      <xdr:row>16</xdr:row>
      <xdr:rowOff>171450</xdr:rowOff>
    </xdr:to>
    <xdr:sp macro="" textlink="">
      <xdr:nvSpPr>
        <xdr:cNvPr id="21" name="Rectangle 20">
          <a:extLst>
            <a:ext uri="{FF2B5EF4-FFF2-40B4-BE49-F238E27FC236}">
              <a16:creationId xmlns:a16="http://schemas.microsoft.com/office/drawing/2014/main" xmlns="" id="{AD2D1372-825B-4330-87DF-36839E5476EF}"/>
            </a:ext>
          </a:extLst>
        </xdr:cNvPr>
        <xdr:cNvSpPr/>
      </xdr:nvSpPr>
      <xdr:spPr>
        <a:xfrm>
          <a:off x="4581526" y="2257425"/>
          <a:ext cx="1123950" cy="266700"/>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endParaRPr>
        </a:p>
      </xdr:txBody>
    </xdr:sp>
    <xdr:clientData/>
  </xdr:twoCellAnchor>
  <xdr:twoCellAnchor editAs="oneCell">
    <xdr:from>
      <xdr:col>3</xdr:col>
      <xdr:colOff>47625</xdr:colOff>
      <xdr:row>10</xdr:row>
      <xdr:rowOff>53340</xdr:rowOff>
    </xdr:from>
    <xdr:to>
      <xdr:col>3</xdr:col>
      <xdr:colOff>346710</xdr:colOff>
      <xdr:row>15</xdr:row>
      <xdr:rowOff>95250</xdr:rowOff>
    </xdr:to>
    <xdr:pic>
      <xdr:nvPicPr>
        <xdr:cNvPr id="15" name="Graphic 14" descr="Bar chart">
          <a:extLst>
            <a:ext uri="{FF2B5EF4-FFF2-40B4-BE49-F238E27FC236}">
              <a16:creationId xmlns:a16="http://schemas.microsoft.com/office/drawing/2014/main" xmlns="" id="{49F6E693-A26C-47EC-A41B-5E20F2E2965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3095625" y="1958340"/>
          <a:ext cx="299085" cy="299085"/>
        </a:xfrm>
        <a:prstGeom prst="rect">
          <a:avLst/>
        </a:prstGeom>
      </xdr:spPr>
    </xdr:pic>
    <xdr:clientData/>
  </xdr:twoCellAnchor>
  <xdr:twoCellAnchor>
    <xdr:from>
      <xdr:col>3</xdr:col>
      <xdr:colOff>352425</xdr:colOff>
      <xdr:row>10</xdr:row>
      <xdr:rowOff>62865</xdr:rowOff>
    </xdr:from>
    <xdr:to>
      <xdr:col>5</xdr:col>
      <xdr:colOff>257175</xdr:colOff>
      <xdr:row>15</xdr:row>
      <xdr:rowOff>66675</xdr:rowOff>
    </xdr:to>
    <xdr:sp macro="" textlink="">
      <xdr:nvSpPr>
        <xdr:cNvPr id="16" name="Rectangle 15">
          <a:extLst>
            <a:ext uri="{FF2B5EF4-FFF2-40B4-BE49-F238E27FC236}">
              <a16:creationId xmlns:a16="http://schemas.microsoft.com/office/drawing/2014/main" xmlns="" id="{02C4B760-40A9-43DC-A2C1-B89B17B4CFA8}"/>
            </a:ext>
          </a:extLst>
        </xdr:cNvPr>
        <xdr:cNvSpPr/>
      </xdr:nvSpPr>
      <xdr:spPr>
        <a:xfrm>
          <a:off x="3400425" y="1967865"/>
          <a:ext cx="1123950" cy="260985"/>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rPr>
            <a:t>Analytics</a:t>
          </a:r>
        </a:p>
      </xdr:txBody>
    </xdr:sp>
    <xdr:clientData/>
  </xdr:twoCellAnchor>
  <xdr:twoCellAnchor editAs="oneCell">
    <xdr:from>
      <xdr:col>13</xdr:col>
      <xdr:colOff>333374</xdr:colOff>
      <xdr:row>0</xdr:row>
      <xdr:rowOff>154305</xdr:rowOff>
    </xdr:from>
    <xdr:to>
      <xdr:col>20</xdr:col>
      <xdr:colOff>85725</xdr:colOff>
      <xdr:row>6</xdr:row>
      <xdr:rowOff>28575</xdr:rowOff>
    </xdr:to>
    <mc:AlternateContent xmlns:mc="http://schemas.openxmlformats.org/markup-compatibility/2006" xmlns:a14="http://schemas.microsoft.com/office/drawing/2010/main">
      <mc:Choice Requires="a14">
        <xdr:graphicFrame macro="">
          <xdr:nvGraphicFramePr>
            <xdr:cNvPr id="17" name="Region 3">
              <a:extLst>
                <a:ext uri="{FF2B5EF4-FFF2-40B4-BE49-F238E27FC236}">
                  <a16:creationId xmlns:a16="http://schemas.microsoft.com/office/drawing/2014/main" xmlns="" id="{6FF6FF52-5796-42EC-889B-81475A780E7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9477374" y="154305"/>
              <a:ext cx="4019551" cy="1017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139065</xdr:colOff>
      <xdr:row>1</xdr:row>
      <xdr:rowOff>43815</xdr:rowOff>
    </xdr:from>
    <xdr:to>
      <xdr:col>13</xdr:col>
      <xdr:colOff>171450</xdr:colOff>
      <xdr:row>6</xdr:row>
      <xdr:rowOff>15240</xdr:rowOff>
    </xdr:to>
    <mc:AlternateContent xmlns:mc="http://schemas.openxmlformats.org/markup-compatibility/2006" xmlns:tsle="http://schemas.microsoft.com/office/drawing/2012/timeslicer">
      <mc:Choice Requires="tsle">
        <xdr:graphicFrame macro="">
          <xdr:nvGraphicFramePr>
            <xdr:cNvPr id="18" name="Date 3">
              <a:extLst>
                <a:ext uri="{FF2B5EF4-FFF2-40B4-BE49-F238E27FC236}">
                  <a16:creationId xmlns:a16="http://schemas.microsoft.com/office/drawing/2014/main" xmlns="" id="{A9B41C1A-E41F-4E5F-AFD4-BE72FFBD8C7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187065" y="234315"/>
              <a:ext cx="612838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95251</xdr:colOff>
      <xdr:row>6</xdr:row>
      <xdr:rowOff>108584</xdr:rowOff>
    </xdr:from>
    <xdr:to>
      <xdr:col>20</xdr:col>
      <xdr:colOff>66675</xdr:colOff>
      <xdr:row>10</xdr:row>
      <xdr:rowOff>9525</xdr:rowOff>
    </xdr:to>
    <mc:AlternateContent xmlns:mc="http://schemas.openxmlformats.org/markup-compatibility/2006" xmlns:a14="http://schemas.microsoft.com/office/drawing/2010/main">
      <mc:Choice Requires="a14">
        <xdr:graphicFrame macro="">
          <xdr:nvGraphicFramePr>
            <xdr:cNvPr id="19" name="Item 5">
              <a:extLst>
                <a:ext uri="{FF2B5EF4-FFF2-40B4-BE49-F238E27FC236}">
                  <a16:creationId xmlns:a16="http://schemas.microsoft.com/office/drawing/2014/main" xmlns="" id="{C349BDC6-404D-47A6-9541-5AFC0039E8D2}"/>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3143251" y="1251584"/>
              <a:ext cx="10334624" cy="6629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85725</xdr:colOff>
      <xdr:row>15</xdr:row>
      <xdr:rowOff>171449</xdr:rowOff>
    </xdr:from>
    <xdr:to>
      <xdr:col>8</xdr:col>
      <xdr:colOff>485774</xdr:colOff>
      <xdr:row>25</xdr:row>
      <xdr:rowOff>161924</xdr:rowOff>
    </xdr:to>
    <xdr:graphicFrame macro="">
      <xdr:nvGraphicFramePr>
        <xdr:cNvPr id="20" name="Chart 19">
          <a:extLst>
            <a:ext uri="{FF2B5EF4-FFF2-40B4-BE49-F238E27FC236}">
              <a16:creationId xmlns:a16="http://schemas.microsoft.com/office/drawing/2014/main" xmlns="" id="{CF33AE35-3CDE-4D59-B3C3-01AC584A1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561976</xdr:colOff>
      <xdr:row>15</xdr:row>
      <xdr:rowOff>180975</xdr:rowOff>
    </xdr:from>
    <xdr:to>
      <xdr:col>13</xdr:col>
      <xdr:colOff>485775</xdr:colOff>
      <xdr:row>25</xdr:row>
      <xdr:rowOff>153353</xdr:rowOff>
    </xdr:to>
    <xdr:graphicFrame macro="">
      <xdr:nvGraphicFramePr>
        <xdr:cNvPr id="22" name="Chart 21">
          <a:extLst>
            <a:ext uri="{FF2B5EF4-FFF2-40B4-BE49-F238E27FC236}">
              <a16:creationId xmlns:a16="http://schemas.microsoft.com/office/drawing/2014/main" xmlns="" id="{C581A0DE-FAEA-4759-8139-DABCBAAA9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581026</xdr:colOff>
      <xdr:row>16</xdr:row>
      <xdr:rowOff>0</xdr:rowOff>
    </xdr:from>
    <xdr:to>
      <xdr:col>20</xdr:col>
      <xdr:colOff>104776</xdr:colOff>
      <xdr:row>25</xdr:row>
      <xdr:rowOff>133350</xdr:rowOff>
    </xdr:to>
    <xdr:graphicFrame macro="">
      <xdr:nvGraphicFramePr>
        <xdr:cNvPr id="23" name="Chart 22">
          <a:extLst>
            <a:ext uri="{FF2B5EF4-FFF2-40B4-BE49-F238E27FC236}">
              <a16:creationId xmlns:a16="http://schemas.microsoft.com/office/drawing/2014/main" xmlns="" id="{08ACF922-18BC-4E7B-A003-0F53063B7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oneCellAnchor>
    <xdr:from>
      <xdr:col>8</xdr:col>
      <xdr:colOff>533399</xdr:colOff>
      <xdr:row>14</xdr:row>
      <xdr:rowOff>152400</xdr:rowOff>
    </xdr:from>
    <xdr:ext cx="3057525" cy="342900"/>
    <xdr:sp macro="" textlink="">
      <xdr:nvSpPr>
        <xdr:cNvPr id="24" name="TextBox 23">
          <a:extLst>
            <a:ext uri="{FF2B5EF4-FFF2-40B4-BE49-F238E27FC236}">
              <a16:creationId xmlns:a16="http://schemas.microsoft.com/office/drawing/2014/main" xmlns="" id="{6859183D-F7EA-4CFB-A1F9-338A2CC9C1E8}"/>
            </a:ext>
          </a:extLst>
        </xdr:cNvPr>
        <xdr:cNvSpPr txBox="1"/>
      </xdr:nvSpPr>
      <xdr:spPr>
        <a:xfrm>
          <a:off x="6629399" y="2124075"/>
          <a:ext cx="3057525" cy="342900"/>
        </a:xfrm>
        <a:prstGeom prst="rect">
          <a:avLst/>
        </a:prstGeom>
        <a:solidFill>
          <a:schemeClr val="accent1">
            <a:lumMod val="20000"/>
            <a:lumOff val="80000"/>
          </a:schemeClr>
        </a:solidFill>
        <a:ln>
          <a:solidFill>
            <a:schemeClr val="accent1">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Top</a:t>
          </a:r>
          <a:r>
            <a:rPr lang="en-US" sz="1100" b="1" baseline="0"/>
            <a:t> performing by 3 Salesman</a:t>
          </a:r>
          <a:endParaRPr lang="en-US" sz="1100" b="1"/>
        </a:p>
      </xdr:txBody>
    </xdr:sp>
    <xdr:clientData/>
  </xdr:oneCellAnchor>
  <xdr:oneCellAnchor>
    <xdr:from>
      <xdr:col>13</xdr:col>
      <xdr:colOff>581026</xdr:colOff>
      <xdr:row>14</xdr:row>
      <xdr:rowOff>171450</xdr:rowOff>
    </xdr:from>
    <xdr:ext cx="3800474" cy="342900"/>
    <xdr:sp macro="" textlink="">
      <xdr:nvSpPr>
        <xdr:cNvPr id="25" name="TextBox 24">
          <a:extLst>
            <a:ext uri="{FF2B5EF4-FFF2-40B4-BE49-F238E27FC236}">
              <a16:creationId xmlns:a16="http://schemas.microsoft.com/office/drawing/2014/main" xmlns="" id="{DF0E6B82-E674-4569-9FF9-6357F3600610}"/>
            </a:ext>
          </a:extLst>
        </xdr:cNvPr>
        <xdr:cNvSpPr txBox="1"/>
      </xdr:nvSpPr>
      <xdr:spPr>
        <a:xfrm>
          <a:off x="9725026" y="2143125"/>
          <a:ext cx="3800474" cy="342900"/>
        </a:xfrm>
        <a:prstGeom prst="rect">
          <a:avLst/>
        </a:prstGeom>
        <a:solidFill>
          <a:schemeClr val="accent1">
            <a:lumMod val="20000"/>
            <a:lumOff val="80000"/>
          </a:schemeClr>
        </a:solidFill>
        <a:ln>
          <a:solidFill>
            <a:schemeClr val="accent1">
              <a:lumMod val="20000"/>
              <a:lumOff val="8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100" b="1"/>
            <a:t>Bottom</a:t>
          </a:r>
          <a:r>
            <a:rPr lang="en-US" sz="1100" b="1" baseline="0"/>
            <a:t> performing by 3 Salesman</a:t>
          </a:r>
          <a:endParaRPr lang="en-US" sz="1100" b="1"/>
        </a:p>
      </xdr:txBody>
    </xdr:sp>
    <xdr:clientData/>
  </xdr:oneCellAnchor>
</xdr:wsDr>
</file>

<file path=xl/drawings/drawing8.xml><?xml version="1.0" encoding="utf-8"?>
<xdr:wsDr xmlns:xdr="http://schemas.openxmlformats.org/drawingml/2006/spreadsheetDrawing" xmlns:a="http://schemas.openxmlformats.org/drawingml/2006/main">
  <xdr:twoCellAnchor>
    <xdr:from>
      <xdr:col>0</xdr:col>
      <xdr:colOff>76200</xdr:colOff>
      <xdr:row>0</xdr:row>
      <xdr:rowOff>60484</xdr:rowOff>
    </xdr:from>
    <xdr:to>
      <xdr:col>20</xdr:col>
      <xdr:colOff>238125</xdr:colOff>
      <xdr:row>26</xdr:row>
      <xdr:rowOff>76201</xdr:rowOff>
    </xdr:to>
    <xdr:sp macro="" textlink="">
      <xdr:nvSpPr>
        <xdr:cNvPr id="2" name="Rectangle: Rounded Corners 1">
          <a:extLst>
            <a:ext uri="{FF2B5EF4-FFF2-40B4-BE49-F238E27FC236}">
              <a16:creationId xmlns:a16="http://schemas.microsoft.com/office/drawing/2014/main" xmlns="" id="{9287F90B-1B9C-46D5-B66A-541D1316FE70}"/>
            </a:ext>
          </a:extLst>
        </xdr:cNvPr>
        <xdr:cNvSpPr/>
      </xdr:nvSpPr>
      <xdr:spPr>
        <a:xfrm>
          <a:off x="1295400" y="60484"/>
          <a:ext cx="12353925" cy="4273392"/>
        </a:xfrm>
        <a:prstGeom prst="roundRect">
          <a:avLst>
            <a:gd name="adj" fmla="val 227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38100</xdr:colOff>
      <xdr:row>0</xdr:row>
      <xdr:rowOff>100965</xdr:rowOff>
    </xdr:from>
    <xdr:to>
      <xdr:col>20</xdr:col>
      <xdr:colOff>152400</xdr:colOff>
      <xdr:row>26</xdr:row>
      <xdr:rowOff>9525</xdr:rowOff>
    </xdr:to>
    <xdr:sp macro="" textlink="">
      <xdr:nvSpPr>
        <xdr:cNvPr id="3" name="Rectangle: Rounded Corners 2">
          <a:extLst>
            <a:ext uri="{FF2B5EF4-FFF2-40B4-BE49-F238E27FC236}">
              <a16:creationId xmlns:a16="http://schemas.microsoft.com/office/drawing/2014/main" xmlns="" id="{EBEC7967-4398-4689-86B4-9FDEBF129C79}"/>
            </a:ext>
          </a:extLst>
        </xdr:cNvPr>
        <xdr:cNvSpPr/>
      </xdr:nvSpPr>
      <xdr:spPr>
        <a:xfrm>
          <a:off x="3086100" y="100965"/>
          <a:ext cx="10477500" cy="4166235"/>
        </a:xfrm>
        <a:prstGeom prst="roundRect">
          <a:avLst>
            <a:gd name="adj" fmla="val 1234"/>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169545</xdr:colOff>
      <xdr:row>7</xdr:row>
      <xdr:rowOff>43815</xdr:rowOff>
    </xdr:from>
    <xdr:to>
      <xdr:col>2</xdr:col>
      <xdr:colOff>527685</xdr:colOff>
      <xdr:row>9</xdr:row>
      <xdr:rowOff>173355</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xmlns="" id="{E9CE330E-199D-4883-ABAA-702EDB8E39F3}"/>
            </a:ext>
          </a:extLst>
        </xdr:cNvPr>
        <xdr:cNvSpPr/>
      </xdr:nvSpPr>
      <xdr:spPr>
        <a:xfrm>
          <a:off x="1388745" y="1377315"/>
          <a:ext cx="1577340" cy="5105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DASHBOARD</a:t>
          </a:r>
        </a:p>
      </xdr:txBody>
    </xdr:sp>
    <xdr:clientData/>
  </xdr:twoCellAnchor>
  <xdr:twoCellAnchor>
    <xdr:from>
      <xdr:col>0</xdr:col>
      <xdr:colOff>152399</xdr:colOff>
      <xdr:row>10</xdr:row>
      <xdr:rowOff>55245</xdr:rowOff>
    </xdr:from>
    <xdr:to>
      <xdr:col>2</xdr:col>
      <xdr:colOff>501014</xdr:colOff>
      <xdr:row>16</xdr:row>
      <xdr:rowOff>118110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xmlns="" id="{AD5F2E91-79AC-4F4C-9828-7F5C5AA22518}"/>
            </a:ext>
          </a:extLst>
        </xdr:cNvPr>
        <xdr:cNvSpPr/>
      </xdr:nvSpPr>
      <xdr:spPr>
        <a:xfrm>
          <a:off x="1371599" y="1960245"/>
          <a:ext cx="1567815" cy="51054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PRODUCT</a:t>
          </a:r>
        </a:p>
      </xdr:txBody>
    </xdr:sp>
    <xdr:clientData/>
  </xdr:twoCellAnchor>
  <xdr:twoCellAnchor>
    <xdr:from>
      <xdr:col>0</xdr:col>
      <xdr:colOff>108585</xdr:colOff>
      <xdr:row>17</xdr:row>
      <xdr:rowOff>1905</xdr:rowOff>
    </xdr:from>
    <xdr:to>
      <xdr:col>2</xdr:col>
      <xdr:colOff>497205</xdr:colOff>
      <xdr:row>19</xdr:row>
      <xdr:rowOff>139065</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xmlns="" id="{80B15A6A-85A1-495E-A2AA-12525F0F3EC4}"/>
            </a:ext>
          </a:extLst>
        </xdr:cNvPr>
        <xdr:cNvSpPr/>
      </xdr:nvSpPr>
      <xdr:spPr>
        <a:xfrm>
          <a:off x="1327785" y="2545080"/>
          <a:ext cx="1607820" cy="518160"/>
        </a:xfrm>
        <a:prstGeom prst="roundRect">
          <a:avLst>
            <a:gd name="adj" fmla="val 500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t>SALESMANS</a:t>
          </a:r>
        </a:p>
      </xdr:txBody>
    </xdr:sp>
    <xdr:clientData/>
  </xdr:twoCellAnchor>
  <xdr:twoCellAnchor>
    <xdr:from>
      <xdr:col>0</xdr:col>
      <xdr:colOff>104775</xdr:colOff>
      <xdr:row>20</xdr:row>
      <xdr:rowOff>51435</xdr:rowOff>
    </xdr:from>
    <xdr:to>
      <xdr:col>2</xdr:col>
      <xdr:colOff>440055</xdr:colOff>
      <xdr:row>22</xdr:row>
      <xdr:rowOff>188595</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xmlns="" id="{C33E7742-9044-4B97-B8F5-A9719D98F388}"/>
            </a:ext>
          </a:extLst>
        </xdr:cNvPr>
        <xdr:cNvSpPr/>
      </xdr:nvSpPr>
      <xdr:spPr>
        <a:xfrm>
          <a:off x="1323975" y="3166110"/>
          <a:ext cx="1554480" cy="518160"/>
        </a:xfrm>
        <a:prstGeom prst="roundRect">
          <a:avLst>
            <a:gd name="adj" fmla="val 50000"/>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tx1"/>
              </a:solidFill>
            </a:rPr>
            <a:t>ABOUT</a:t>
          </a:r>
          <a:r>
            <a:rPr lang="en-US" sz="1800" b="1" baseline="0">
              <a:solidFill>
                <a:schemeClr val="tx1"/>
              </a:solidFill>
            </a:rPr>
            <a:t> US</a:t>
          </a:r>
          <a:endParaRPr lang="en-US" sz="1800" b="1">
            <a:solidFill>
              <a:schemeClr val="tx1"/>
            </a:solidFill>
          </a:endParaRPr>
        </a:p>
      </xdr:txBody>
    </xdr:sp>
    <xdr:clientData/>
  </xdr:twoCellAnchor>
  <xdr:twoCellAnchor>
    <xdr:from>
      <xdr:col>13</xdr:col>
      <xdr:colOff>333374</xdr:colOff>
      <xdr:row>0</xdr:row>
      <xdr:rowOff>154305</xdr:rowOff>
    </xdr:from>
    <xdr:to>
      <xdr:col>20</xdr:col>
      <xdr:colOff>114300</xdr:colOff>
      <xdr:row>6</xdr:row>
      <xdr:rowOff>47625</xdr:rowOff>
    </xdr:to>
    <xdr:sp macro="" textlink="">
      <xdr:nvSpPr>
        <xdr:cNvPr id="8" name="Rectangle 7">
          <a:extLst>
            <a:ext uri="{FF2B5EF4-FFF2-40B4-BE49-F238E27FC236}">
              <a16:creationId xmlns:a16="http://schemas.microsoft.com/office/drawing/2014/main" xmlns="" id="{27D8F555-73D7-465A-93F0-2DA33FDACEEF}"/>
            </a:ext>
          </a:extLst>
        </xdr:cNvPr>
        <xdr:cNvSpPr/>
      </xdr:nvSpPr>
      <xdr:spPr>
        <a:xfrm>
          <a:off x="9477374" y="154305"/>
          <a:ext cx="4048126" cy="103632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95251</xdr:colOff>
      <xdr:row>6</xdr:row>
      <xdr:rowOff>108584</xdr:rowOff>
    </xdr:from>
    <xdr:to>
      <xdr:col>20</xdr:col>
      <xdr:colOff>100965</xdr:colOff>
      <xdr:row>9</xdr:row>
      <xdr:rowOff>133350</xdr:rowOff>
    </xdr:to>
    <xdr:sp macro="" textlink="">
      <xdr:nvSpPr>
        <xdr:cNvPr id="9" name="Rectangle 8">
          <a:extLst>
            <a:ext uri="{FF2B5EF4-FFF2-40B4-BE49-F238E27FC236}">
              <a16:creationId xmlns:a16="http://schemas.microsoft.com/office/drawing/2014/main" xmlns="" id="{BE7D9B41-EADB-4231-97E6-F536B6DE13B8}"/>
            </a:ext>
          </a:extLst>
        </xdr:cNvPr>
        <xdr:cNvSpPr/>
      </xdr:nvSpPr>
      <xdr:spPr>
        <a:xfrm>
          <a:off x="3143251" y="1251584"/>
          <a:ext cx="10368914" cy="59626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81915</xdr:colOff>
      <xdr:row>0</xdr:row>
      <xdr:rowOff>158115</xdr:rowOff>
    </xdr:from>
    <xdr:to>
      <xdr:col>13</xdr:col>
      <xdr:colOff>257175</xdr:colOff>
      <xdr:row>6</xdr:row>
      <xdr:rowOff>47625</xdr:rowOff>
    </xdr:to>
    <xdr:sp macro="" textlink="">
      <xdr:nvSpPr>
        <xdr:cNvPr id="10" name="Rectangle 9">
          <a:extLst>
            <a:ext uri="{FF2B5EF4-FFF2-40B4-BE49-F238E27FC236}">
              <a16:creationId xmlns:a16="http://schemas.microsoft.com/office/drawing/2014/main" xmlns="" id="{94A98AD0-B61C-4B41-88B5-30BA87525E59}"/>
            </a:ext>
          </a:extLst>
        </xdr:cNvPr>
        <xdr:cNvSpPr/>
      </xdr:nvSpPr>
      <xdr:spPr>
        <a:xfrm>
          <a:off x="3129915" y="158115"/>
          <a:ext cx="6271260" cy="1032510"/>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85725</xdr:colOff>
      <xdr:row>15</xdr:row>
      <xdr:rowOff>171451</xdr:rowOff>
    </xdr:from>
    <xdr:to>
      <xdr:col>20</xdr:col>
      <xdr:colOff>104775</xdr:colOff>
      <xdr:row>25</xdr:row>
      <xdr:rowOff>171449</xdr:rowOff>
    </xdr:to>
    <xdr:sp macro="" textlink="">
      <xdr:nvSpPr>
        <xdr:cNvPr id="11" name="Rectangle 10">
          <a:extLst>
            <a:ext uri="{FF2B5EF4-FFF2-40B4-BE49-F238E27FC236}">
              <a16:creationId xmlns:a16="http://schemas.microsoft.com/office/drawing/2014/main" xmlns="" id="{8D2D5A9B-1218-4010-9D43-59C759528FA7}"/>
            </a:ext>
          </a:extLst>
        </xdr:cNvPr>
        <xdr:cNvSpPr/>
      </xdr:nvSpPr>
      <xdr:spPr>
        <a:xfrm>
          <a:off x="3133725" y="2333626"/>
          <a:ext cx="10382250" cy="1904998"/>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200" b="1"/>
            <a:t>Project Developer</a:t>
          </a:r>
          <a:r>
            <a:rPr lang="en-US" sz="1200" b="1" baseline="0"/>
            <a:t> : </a:t>
          </a:r>
          <a:r>
            <a:rPr lang="en-US" sz="1100" b="1" baseline="0"/>
            <a:t>  										</a:t>
          </a:r>
          <a:r>
            <a:rPr lang="en-US" sz="1100" b="0" baseline="0"/>
            <a:t>This Wonderful Project is created By Divya (CEO And Founder Of DivyaEducationWorld.com)</a:t>
          </a:r>
          <a:r>
            <a:rPr lang="en-US" sz="1100" b="1" baseline="0"/>
            <a:t>																																																		</a:t>
          </a:r>
          <a:r>
            <a:rPr lang="en-US" sz="1200" b="1" baseline="0"/>
            <a:t>Version:</a:t>
          </a:r>
          <a:r>
            <a:rPr lang="en-US" sz="1100" b="1" baseline="0"/>
            <a:t>											</a:t>
          </a:r>
          <a:r>
            <a:rPr lang="en-US" sz="1100" b="0" baseline="0"/>
            <a:t>This Projects is Created in Excel 2016 version, But you can use Excel 2013 or any later version.</a:t>
          </a:r>
          <a:endParaRPr lang="en-US" sz="1100" b="0"/>
        </a:p>
      </xdr:txBody>
    </xdr:sp>
    <xdr:clientData/>
  </xdr:twoCellAnchor>
  <xdr:twoCellAnchor editAs="oneCell">
    <xdr:from>
      <xdr:col>3</xdr:col>
      <xdr:colOff>104774</xdr:colOff>
      <xdr:row>6</xdr:row>
      <xdr:rowOff>76200</xdr:rowOff>
    </xdr:from>
    <xdr:to>
      <xdr:col>19</xdr:col>
      <xdr:colOff>571499</xdr:colOff>
      <xdr:row>9</xdr:row>
      <xdr:rowOff>123825</xdr:rowOff>
    </xdr:to>
    <mc:AlternateContent xmlns:mc="http://schemas.openxmlformats.org/markup-compatibility/2006" xmlns:a14="http://schemas.microsoft.com/office/drawing/2010/main">
      <mc:Choice Requires="a14">
        <xdr:graphicFrame macro="">
          <xdr:nvGraphicFramePr>
            <xdr:cNvPr id="12" name="Item 6">
              <a:extLst>
                <a:ext uri="{FF2B5EF4-FFF2-40B4-BE49-F238E27FC236}">
                  <a16:creationId xmlns:a16="http://schemas.microsoft.com/office/drawing/2014/main" xmlns="" id="{C67B940F-798A-4E87-B0EC-70AA5DD62721}"/>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3152774" y="1219200"/>
              <a:ext cx="10220325"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1</xdr:row>
      <xdr:rowOff>19050</xdr:rowOff>
    </xdr:from>
    <xdr:to>
      <xdr:col>13</xdr:col>
      <xdr:colOff>180976</xdr:colOff>
      <xdr:row>5</xdr:row>
      <xdr:rowOff>190499</xdr:rowOff>
    </xdr:to>
    <mc:AlternateContent xmlns:mc="http://schemas.openxmlformats.org/markup-compatibility/2006" xmlns:tsle="http://schemas.microsoft.com/office/drawing/2012/timeslicer">
      <mc:Choice Requires="tsle">
        <xdr:graphicFrame macro="">
          <xdr:nvGraphicFramePr>
            <xdr:cNvPr id="13" name="Date 6">
              <a:extLst>
                <a:ext uri="{FF2B5EF4-FFF2-40B4-BE49-F238E27FC236}">
                  <a16:creationId xmlns:a16="http://schemas.microsoft.com/office/drawing/2014/main" xmlns="" id="{68BE97CC-0DAA-42D5-9CA6-BA04BDF6E3DE}"/>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3190875" y="209550"/>
              <a:ext cx="6134101" cy="93344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462915</xdr:colOff>
      <xdr:row>1</xdr:row>
      <xdr:rowOff>5715</xdr:rowOff>
    </xdr:from>
    <xdr:to>
      <xdr:col>19</xdr:col>
      <xdr:colOff>600075</xdr:colOff>
      <xdr:row>5</xdr:row>
      <xdr:rowOff>142875</xdr:rowOff>
    </xdr:to>
    <mc:AlternateContent xmlns:mc="http://schemas.openxmlformats.org/markup-compatibility/2006" xmlns:a14="http://schemas.microsoft.com/office/drawing/2010/main">
      <mc:Choice Requires="a14">
        <xdr:graphicFrame macro="">
          <xdr:nvGraphicFramePr>
            <xdr:cNvPr id="14" name="Region 7">
              <a:extLst>
                <a:ext uri="{FF2B5EF4-FFF2-40B4-BE49-F238E27FC236}">
                  <a16:creationId xmlns:a16="http://schemas.microsoft.com/office/drawing/2014/main" xmlns="" id="{15FB0535-90A9-4D8E-98FA-FDB8CC3F8E35}"/>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9606915" y="196215"/>
              <a:ext cx="3794760" cy="899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123826</xdr:colOff>
      <xdr:row>9</xdr:row>
      <xdr:rowOff>142875</xdr:rowOff>
    </xdr:from>
    <xdr:to>
      <xdr:col>5</xdr:col>
      <xdr:colOff>28576</xdr:colOff>
      <xdr:row>14</xdr:row>
      <xdr:rowOff>152400</xdr:rowOff>
    </xdr:to>
    <xdr:sp macro="" textlink="">
      <xdr:nvSpPr>
        <xdr:cNvPr id="21" name="Rectangle 20">
          <a:extLst>
            <a:ext uri="{FF2B5EF4-FFF2-40B4-BE49-F238E27FC236}">
              <a16:creationId xmlns:a16="http://schemas.microsoft.com/office/drawing/2014/main" xmlns="" id="{C7D80273-CAA8-4F80-BE00-2388C589E442}"/>
            </a:ext>
          </a:extLst>
        </xdr:cNvPr>
        <xdr:cNvSpPr/>
      </xdr:nvSpPr>
      <xdr:spPr>
        <a:xfrm>
          <a:off x="3171826" y="1857375"/>
          <a:ext cx="1123950" cy="266700"/>
        </a:xfrm>
        <a:prstGeom prst="rect">
          <a:avLst/>
        </a:prstGeom>
        <a:solidFill>
          <a:schemeClr val="accent1">
            <a:lumMod val="20000"/>
            <a:lumOff val="80000"/>
          </a:schemeClr>
        </a:solidFill>
        <a:ln>
          <a:solidFill>
            <a:schemeClr val="accent1">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0"/>
              <a:solidFill>
                <a:schemeClr val="tx1"/>
              </a:solidFill>
              <a:effectLst>
                <a:outerShdw blurRad="38100" dist="19050" dir="2700000" algn="tl" rotWithShape="0">
                  <a:schemeClr val="dk1">
                    <a:alpha val="40000"/>
                  </a:schemeClr>
                </a:outerShdw>
              </a:effectLst>
              <a:latin typeface="Bahnschrift SemiBold" panose="020B0502040204020203" pitchFamily="34" charset="0"/>
            </a:rPr>
            <a:t>About</a:t>
          </a:r>
        </a:p>
      </xdr:txBody>
    </xdr:sp>
    <xdr:clientData/>
  </xdr:twoCellAnchor>
  <xdr:twoCellAnchor editAs="oneCell">
    <xdr:from>
      <xdr:col>3</xdr:col>
      <xdr:colOff>76200</xdr:colOff>
      <xdr:row>9</xdr:row>
      <xdr:rowOff>161925</xdr:rowOff>
    </xdr:from>
    <xdr:to>
      <xdr:col>3</xdr:col>
      <xdr:colOff>375285</xdr:colOff>
      <xdr:row>15</xdr:row>
      <xdr:rowOff>19050</xdr:rowOff>
    </xdr:to>
    <xdr:pic>
      <xdr:nvPicPr>
        <xdr:cNvPr id="15" name="Graphic 14" descr="Bar chart">
          <a:extLst>
            <a:ext uri="{FF2B5EF4-FFF2-40B4-BE49-F238E27FC236}">
              <a16:creationId xmlns:a16="http://schemas.microsoft.com/office/drawing/2014/main" xmlns="" id="{B7EDA232-4541-4980-9C73-C17D8234A3B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xmlns="" r:embed="rId6"/>
            </a:ext>
          </a:extLst>
        </a:blip>
        <a:stretch>
          <a:fillRect/>
        </a:stretch>
      </xdr:blipFill>
      <xdr:spPr>
        <a:xfrm>
          <a:off x="3124200" y="1876425"/>
          <a:ext cx="299085" cy="3048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85726</xdr:colOff>
      <xdr:row>0</xdr:row>
      <xdr:rowOff>165100</xdr:rowOff>
    </xdr:from>
    <xdr:to>
      <xdr:col>26</xdr:col>
      <xdr:colOff>457200</xdr:colOff>
      <xdr:row>31</xdr:row>
      <xdr:rowOff>165099</xdr:rowOff>
    </xdr:to>
    <xdr:sp macro="" textlink="">
      <xdr:nvSpPr>
        <xdr:cNvPr id="2" name="Rounded Rectangle 1"/>
        <xdr:cNvSpPr/>
      </xdr:nvSpPr>
      <xdr:spPr>
        <a:xfrm>
          <a:off x="85726" y="165100"/>
          <a:ext cx="16221074" cy="590549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304800</xdr:colOff>
      <xdr:row>1</xdr:row>
      <xdr:rowOff>31749</xdr:rowOff>
    </xdr:from>
    <xdr:to>
      <xdr:col>26</xdr:col>
      <xdr:colOff>393700</xdr:colOff>
      <xdr:row>31</xdr:row>
      <xdr:rowOff>114300</xdr:rowOff>
    </xdr:to>
    <xdr:sp macro="" textlink="'new-dash'!$B$53">
      <xdr:nvSpPr>
        <xdr:cNvPr id="3" name="Rounded Rectangle 2"/>
        <xdr:cNvSpPr/>
      </xdr:nvSpPr>
      <xdr:spPr>
        <a:xfrm>
          <a:off x="2743200" y="222249"/>
          <a:ext cx="13500100" cy="579755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6C242927-DC43-40DD-96C7-8E6084B5226B}" type="TxLink">
            <a:rPr lang="en-US" sz="1100" b="0" i="0" u="none" strike="noStrike">
              <a:solidFill>
                <a:srgbClr val="000000"/>
              </a:solidFill>
              <a:latin typeface="Calibri"/>
              <a:cs typeface="Calibri"/>
            </a:rPr>
            <a:t> </a:t>
          </a:fld>
          <a:endParaRPr lang="en-IN" sz="1100"/>
        </a:p>
      </xdr:txBody>
    </xdr:sp>
    <xdr:clientData/>
  </xdr:twoCellAnchor>
  <xdr:twoCellAnchor>
    <xdr:from>
      <xdr:col>0</xdr:col>
      <xdr:colOff>596900</xdr:colOff>
      <xdr:row>7</xdr:row>
      <xdr:rowOff>57150</xdr:rowOff>
    </xdr:from>
    <xdr:to>
      <xdr:col>4</xdr:col>
      <xdr:colOff>0</xdr:colOff>
      <xdr:row>10</xdr:row>
      <xdr:rowOff>95250</xdr:rowOff>
    </xdr:to>
    <xdr:sp macro="" textlink="">
      <xdr:nvSpPr>
        <xdr:cNvPr id="4" name="Rounded Rectangle 3"/>
        <xdr:cNvSpPr/>
      </xdr:nvSpPr>
      <xdr:spPr>
        <a:xfrm>
          <a:off x="596900" y="1390650"/>
          <a:ext cx="1841500" cy="609600"/>
        </a:xfrm>
        <a:prstGeom prst="round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rPr>
            <a:t>Dashboard</a:t>
          </a:r>
        </a:p>
      </xdr:txBody>
    </xdr:sp>
    <xdr:clientData/>
  </xdr:twoCellAnchor>
  <xdr:twoCellAnchor>
    <xdr:from>
      <xdr:col>0</xdr:col>
      <xdr:colOff>600074</xdr:colOff>
      <xdr:row>12</xdr:row>
      <xdr:rowOff>85724</xdr:rowOff>
    </xdr:from>
    <xdr:to>
      <xdr:col>4</xdr:col>
      <xdr:colOff>25400</xdr:colOff>
      <xdr:row>16</xdr:row>
      <xdr:rowOff>12699</xdr:rowOff>
    </xdr:to>
    <xdr:sp macro="" textlink="">
      <xdr:nvSpPr>
        <xdr:cNvPr id="5" name="Rounded Rectangle 4"/>
        <xdr:cNvSpPr/>
      </xdr:nvSpPr>
      <xdr:spPr>
        <a:xfrm>
          <a:off x="600074" y="2371724"/>
          <a:ext cx="1863726" cy="6889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Products</a:t>
          </a:r>
        </a:p>
      </xdr:txBody>
    </xdr:sp>
    <xdr:clientData/>
  </xdr:twoCellAnchor>
  <xdr:twoCellAnchor>
    <xdr:from>
      <xdr:col>0</xdr:col>
      <xdr:colOff>596900</xdr:colOff>
      <xdr:row>17</xdr:row>
      <xdr:rowOff>101600</xdr:rowOff>
    </xdr:from>
    <xdr:to>
      <xdr:col>4</xdr:col>
      <xdr:colOff>50800</xdr:colOff>
      <xdr:row>21</xdr:row>
      <xdr:rowOff>25400</xdr:rowOff>
    </xdr:to>
    <xdr:sp macro="" textlink="">
      <xdr:nvSpPr>
        <xdr:cNvPr id="6" name="Rounded Rectangle 5"/>
        <xdr:cNvSpPr/>
      </xdr:nvSpPr>
      <xdr:spPr>
        <a:xfrm>
          <a:off x="596900" y="3340100"/>
          <a:ext cx="1892300" cy="6858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Salesman</a:t>
          </a:r>
        </a:p>
      </xdr:txBody>
    </xdr:sp>
    <xdr:clientData/>
  </xdr:twoCellAnchor>
  <xdr:twoCellAnchor>
    <xdr:from>
      <xdr:col>0</xdr:col>
      <xdr:colOff>574674</xdr:colOff>
      <xdr:row>22</xdr:row>
      <xdr:rowOff>171450</xdr:rowOff>
    </xdr:from>
    <xdr:to>
      <xdr:col>4</xdr:col>
      <xdr:colOff>63500</xdr:colOff>
      <xdr:row>26</xdr:row>
      <xdr:rowOff>19050</xdr:rowOff>
    </xdr:to>
    <xdr:sp macro="" textlink="">
      <xdr:nvSpPr>
        <xdr:cNvPr id="7" name="Rounded Rectangle 6"/>
        <xdr:cNvSpPr/>
      </xdr:nvSpPr>
      <xdr:spPr>
        <a:xfrm>
          <a:off x="574674" y="4362450"/>
          <a:ext cx="1927226" cy="6096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About</a:t>
          </a:r>
          <a:r>
            <a:rPr lang="en-IN" sz="1800" baseline="0"/>
            <a:t> us</a:t>
          </a:r>
          <a:endParaRPr lang="en-IN" sz="1800"/>
        </a:p>
      </xdr:txBody>
    </xdr:sp>
    <xdr:clientData/>
  </xdr:twoCellAnchor>
  <xdr:twoCellAnchor>
    <xdr:from>
      <xdr:col>5</xdr:col>
      <xdr:colOff>139700</xdr:colOff>
      <xdr:row>18</xdr:row>
      <xdr:rowOff>139700</xdr:rowOff>
    </xdr:from>
    <xdr:to>
      <xdr:col>12</xdr:col>
      <xdr:colOff>12700</xdr:colOff>
      <xdr:row>30</xdr:row>
      <xdr:rowOff>88900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101600</xdr:colOff>
      <xdr:row>18</xdr:row>
      <xdr:rowOff>123826</xdr:rowOff>
    </xdr:from>
    <xdr:to>
      <xdr:col>19</xdr:col>
      <xdr:colOff>12700</xdr:colOff>
      <xdr:row>30</xdr:row>
      <xdr:rowOff>88900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101600</xdr:colOff>
      <xdr:row>18</xdr:row>
      <xdr:rowOff>127000</xdr:rowOff>
    </xdr:from>
    <xdr:to>
      <xdr:col>25</xdr:col>
      <xdr:colOff>571500</xdr:colOff>
      <xdr:row>30</xdr:row>
      <xdr:rowOff>88899</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600075</xdr:colOff>
      <xdr:row>19</xdr:row>
      <xdr:rowOff>142875</xdr:rowOff>
    </xdr:from>
    <xdr:to>
      <xdr:col>23</xdr:col>
      <xdr:colOff>457200</xdr:colOff>
      <xdr:row>21</xdr:row>
      <xdr:rowOff>9525</xdr:rowOff>
    </xdr:to>
    <xdr:sp macro="" textlink="">
      <xdr:nvSpPr>
        <xdr:cNvPr id="11" name="Rectangle 10"/>
        <xdr:cNvSpPr/>
      </xdr:nvSpPr>
      <xdr:spPr>
        <a:xfrm>
          <a:off x="13401675" y="3762375"/>
          <a:ext cx="1076325" cy="247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chemeClr val="tx1"/>
              </a:solidFill>
            </a:rPr>
            <a:t>Sales by</a:t>
          </a:r>
          <a:r>
            <a:rPr lang="en-IN" sz="1100" baseline="0">
              <a:solidFill>
                <a:schemeClr val="tx1"/>
              </a:solidFill>
            </a:rPr>
            <a:t> region</a:t>
          </a:r>
          <a:endParaRPr lang="en-IN" sz="1100">
            <a:solidFill>
              <a:schemeClr val="tx1"/>
            </a:solidFill>
          </a:endParaRPr>
        </a:p>
      </xdr:txBody>
    </xdr:sp>
    <xdr:clientData/>
  </xdr:twoCellAnchor>
  <xdr:twoCellAnchor>
    <xdr:from>
      <xdr:col>8</xdr:col>
      <xdr:colOff>22224</xdr:colOff>
      <xdr:row>14</xdr:row>
      <xdr:rowOff>139700</xdr:rowOff>
    </xdr:from>
    <xdr:to>
      <xdr:col>11</xdr:col>
      <xdr:colOff>571499</xdr:colOff>
      <xdr:row>18</xdr:row>
      <xdr:rowOff>57150</xdr:rowOff>
    </xdr:to>
    <xdr:sp macro="" textlink="">
      <xdr:nvSpPr>
        <xdr:cNvPr id="12" name="Rounded Rectangle 11"/>
        <xdr:cNvSpPr/>
      </xdr:nvSpPr>
      <xdr:spPr>
        <a:xfrm>
          <a:off x="4899024" y="2806700"/>
          <a:ext cx="2378075" cy="6794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279401</xdr:colOff>
      <xdr:row>14</xdr:row>
      <xdr:rowOff>139700</xdr:rowOff>
    </xdr:from>
    <xdr:to>
      <xdr:col>11</xdr:col>
      <xdr:colOff>571501</xdr:colOff>
      <xdr:row>18</xdr:row>
      <xdr:rowOff>63499</xdr:rowOff>
    </xdr:to>
    <xdr:sp macro="" textlink="">
      <xdr:nvSpPr>
        <xdr:cNvPr id="13" name="Rounded Rectangle 12"/>
        <xdr:cNvSpPr/>
      </xdr:nvSpPr>
      <xdr:spPr>
        <a:xfrm>
          <a:off x="5156201" y="2806700"/>
          <a:ext cx="2120900" cy="6857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Total Amount</a:t>
          </a:r>
        </a:p>
        <a:p>
          <a:pPr algn="l"/>
          <a:endParaRPr lang="en-IN" sz="1800" b="1"/>
        </a:p>
      </xdr:txBody>
    </xdr:sp>
    <xdr:clientData/>
  </xdr:twoCellAnchor>
  <xdr:twoCellAnchor>
    <xdr:from>
      <xdr:col>9</xdr:col>
      <xdr:colOff>304800</xdr:colOff>
      <xdr:row>16</xdr:row>
      <xdr:rowOff>101600</xdr:rowOff>
    </xdr:from>
    <xdr:to>
      <xdr:col>11</xdr:col>
      <xdr:colOff>317500</xdr:colOff>
      <xdr:row>17</xdr:row>
      <xdr:rowOff>190499</xdr:rowOff>
    </xdr:to>
    <xdr:sp macro="" textlink="'new-pivot'!B53">
      <xdr:nvSpPr>
        <xdr:cNvPr id="14" name="Rounded Rectangle 13"/>
        <xdr:cNvSpPr/>
      </xdr:nvSpPr>
      <xdr:spPr>
        <a:xfrm>
          <a:off x="5791200" y="3149600"/>
          <a:ext cx="1231900" cy="279399"/>
        </a:xfrm>
        <a:prstGeom prst="roundRect">
          <a:avLst/>
        </a:prstGeom>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t"/>
        <a:lstStyle/>
        <a:p>
          <a:pPr algn="l"/>
          <a:fld id="{B8457F78-C3E8-4F63-B888-FC3E4F4BFBB9}" type="TxLink">
            <a:rPr lang="en-US" sz="1600" b="0" i="0" u="none" strike="noStrike">
              <a:solidFill>
                <a:srgbClr val="000000"/>
              </a:solidFill>
              <a:latin typeface="Calibri"/>
              <a:cs typeface="Calibri"/>
            </a:rPr>
            <a:t>1782570</a:t>
          </a:fld>
          <a:endParaRPr lang="en-IN" sz="1600"/>
        </a:p>
      </xdr:txBody>
    </xdr:sp>
    <xdr:clientData/>
  </xdr:twoCellAnchor>
  <xdr:twoCellAnchor editAs="oneCell">
    <xdr:from>
      <xdr:col>19</xdr:col>
      <xdr:colOff>600074</xdr:colOff>
      <xdr:row>2</xdr:row>
      <xdr:rowOff>130174</xdr:rowOff>
    </xdr:from>
    <xdr:to>
      <xdr:col>26</xdr:col>
      <xdr:colOff>38100</xdr:colOff>
      <xdr:row>8</xdr:row>
      <xdr:rowOff>165099</xdr:rowOff>
    </xdr:to>
    <mc:AlternateContent xmlns:mc="http://schemas.openxmlformats.org/markup-compatibility/2006">
      <mc:Choice xmlns:a14="http://schemas.microsoft.com/office/drawing/2010/main" Requires="a14">
        <xdr:graphicFrame macro="">
          <xdr:nvGraphicFramePr>
            <xdr:cNvPr id="15" name="Region 5"/>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12182474" y="511174"/>
              <a:ext cx="3705226" cy="1177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393466</xdr:colOff>
      <xdr:row>9</xdr:row>
      <xdr:rowOff>50800</xdr:rowOff>
    </xdr:from>
    <xdr:to>
      <xdr:col>26</xdr:col>
      <xdr:colOff>304800</xdr:colOff>
      <xdr:row>14</xdr:row>
      <xdr:rowOff>126999</xdr:rowOff>
    </xdr:to>
    <mc:AlternateContent xmlns:mc="http://schemas.openxmlformats.org/markup-compatibility/2006">
      <mc:Choice xmlns:a14="http://schemas.microsoft.com/office/drawing/2010/main" Requires="a14">
        <xdr:graphicFrame macro="">
          <xdr:nvGraphicFramePr>
            <xdr:cNvPr id="16" name="Item 8"/>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dr:sp macro="" textlink="">
          <xdr:nvSpPr>
            <xdr:cNvPr id="0" name=""/>
            <xdr:cNvSpPr>
              <a:spLocks noTextEdit="1"/>
            </xdr:cNvSpPr>
          </xdr:nvSpPr>
          <xdr:spPr>
            <a:xfrm>
              <a:off x="2831866" y="1765300"/>
              <a:ext cx="13322534"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161924</xdr:colOff>
      <xdr:row>2</xdr:row>
      <xdr:rowOff>38100</xdr:rowOff>
    </xdr:from>
    <xdr:to>
      <xdr:col>16</xdr:col>
      <xdr:colOff>546100</xdr:colOff>
      <xdr:row>8</xdr:row>
      <xdr:rowOff>88900</xdr:rowOff>
    </xdr:to>
    <mc:AlternateContent xmlns:mc="http://schemas.openxmlformats.org/markup-compatibility/2006">
      <mc:Choice xmlns:tsle="http://schemas.microsoft.com/office/drawing/2012/timeslicer" Requires="tsle">
        <xdr:graphicFrame macro="">
          <xdr:nvGraphicFramePr>
            <xdr:cNvPr id="17" name="Date 4"/>
            <xdr:cNvGraphicFramePr/>
          </xdr:nvGraphicFramePr>
          <xdr:xfrm>
            <a:off x="0" y="0"/>
            <a:ext cx="0" cy="0"/>
          </xdr:xfrm>
          <a:graphic>
            <a:graphicData uri="http://schemas.microsoft.com/office/drawing/2012/timeslicer">
              <tsle:timeslicer xmlns:tsle="http://schemas.microsoft.com/office/drawing/2012/timeslicer" name="Date 4"/>
            </a:graphicData>
          </a:graphic>
        </xdr:graphicFrame>
      </mc:Choice>
      <mc:Fallback>
        <xdr:sp macro="" textlink="">
          <xdr:nvSpPr>
            <xdr:cNvPr id="0" name=""/>
            <xdr:cNvSpPr>
              <a:spLocks noTextEdit="1"/>
            </xdr:cNvSpPr>
          </xdr:nvSpPr>
          <xdr:spPr>
            <a:xfrm>
              <a:off x="4429124" y="419100"/>
              <a:ext cx="5870576" cy="1193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12</xdr:col>
      <xdr:colOff>152400</xdr:colOff>
      <xdr:row>14</xdr:row>
      <xdr:rowOff>146049</xdr:rowOff>
    </xdr:from>
    <xdr:to>
      <xdr:col>16</xdr:col>
      <xdr:colOff>92075</xdr:colOff>
      <xdr:row>18</xdr:row>
      <xdr:rowOff>63499</xdr:rowOff>
    </xdr:to>
    <xdr:sp macro="" textlink="">
      <xdr:nvSpPr>
        <xdr:cNvPr id="19" name="Rounded Rectangle 18"/>
        <xdr:cNvSpPr/>
      </xdr:nvSpPr>
      <xdr:spPr>
        <a:xfrm>
          <a:off x="7467600" y="2813049"/>
          <a:ext cx="2378075" cy="679450"/>
        </a:xfrm>
        <a:prstGeom prst="roundRect">
          <a:avLst/>
        </a:prstGeom>
      </xdr:spPr>
      <xdr:style>
        <a:lnRef idx="1">
          <a:schemeClr val="accent4"/>
        </a:lnRef>
        <a:fillRef idx="3">
          <a:schemeClr val="accent4"/>
        </a:fillRef>
        <a:effectRef idx="2">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393700</xdr:colOff>
      <xdr:row>14</xdr:row>
      <xdr:rowOff>152401</xdr:rowOff>
    </xdr:from>
    <xdr:to>
      <xdr:col>16</xdr:col>
      <xdr:colOff>88899</xdr:colOff>
      <xdr:row>18</xdr:row>
      <xdr:rowOff>63501</xdr:rowOff>
    </xdr:to>
    <xdr:sp macro="" textlink="">
      <xdr:nvSpPr>
        <xdr:cNvPr id="21" name="Rounded Rectangle 20"/>
        <xdr:cNvSpPr/>
      </xdr:nvSpPr>
      <xdr:spPr>
        <a:xfrm>
          <a:off x="7708900" y="2819401"/>
          <a:ext cx="2133599" cy="67310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Total Amount</a:t>
          </a:r>
        </a:p>
        <a:p>
          <a:pPr algn="l"/>
          <a:endParaRPr lang="en-IN" sz="1800" b="1"/>
        </a:p>
      </xdr:txBody>
    </xdr:sp>
    <xdr:clientData/>
  </xdr:twoCellAnchor>
  <xdr:twoCellAnchor>
    <xdr:from>
      <xdr:col>13</xdr:col>
      <xdr:colOff>254000</xdr:colOff>
      <xdr:row>16</xdr:row>
      <xdr:rowOff>101600</xdr:rowOff>
    </xdr:from>
    <xdr:to>
      <xdr:col>15</xdr:col>
      <xdr:colOff>266700</xdr:colOff>
      <xdr:row>17</xdr:row>
      <xdr:rowOff>190499</xdr:rowOff>
    </xdr:to>
    <xdr:sp macro="" textlink="'new-pivot'!B58">
      <xdr:nvSpPr>
        <xdr:cNvPr id="22" name="Rounded Rectangle 21"/>
        <xdr:cNvSpPr/>
      </xdr:nvSpPr>
      <xdr:spPr>
        <a:xfrm>
          <a:off x="8178800" y="3149600"/>
          <a:ext cx="1231900" cy="279399"/>
        </a:xfrm>
        <a:prstGeom prst="roundRect">
          <a:avLst/>
        </a:prstGeom>
        <a:ln>
          <a:noFill/>
        </a:ln>
      </xdr:spPr>
      <xdr:style>
        <a:lnRef idx="2">
          <a:schemeClr val="accent1">
            <a:shade val="50000"/>
          </a:schemeClr>
        </a:lnRef>
        <a:fillRef idx="1001">
          <a:schemeClr val="lt1"/>
        </a:fillRef>
        <a:effectRef idx="0">
          <a:schemeClr val="accent1"/>
        </a:effectRef>
        <a:fontRef idx="minor">
          <a:schemeClr val="lt1"/>
        </a:fontRef>
      </xdr:style>
      <xdr:txBody>
        <a:bodyPr vertOverflow="clip" horzOverflow="clip" rtlCol="0" anchor="t"/>
        <a:lstStyle/>
        <a:p>
          <a:pPr algn="l"/>
          <a:fld id="{E2BCF526-DE55-41F0-B4FA-3917F67738AF}" type="TxLink">
            <a:rPr lang="en-US" sz="1600" b="0" i="0" u="none" strike="noStrike">
              <a:solidFill>
                <a:srgbClr val="000000"/>
              </a:solidFill>
              <a:latin typeface="Calibri"/>
              <a:cs typeface="Calibri"/>
            </a:rPr>
            <a:t>366</a:t>
          </a:fld>
          <a:endParaRPr lang="en-IN" sz="1600"/>
        </a:p>
      </xdr:txBody>
    </xdr:sp>
    <xdr:clientData/>
  </xdr:twoCellAnchor>
</xdr:wsDr>
</file>

<file path=xl/drawings/drawing10.xml><?xml version="1.0" encoding="utf-8"?>
<c:userShapes xmlns:c="http://schemas.openxmlformats.org/drawingml/2006/chart">
  <cdr:relSizeAnchor xmlns:cdr="http://schemas.openxmlformats.org/drawingml/2006/chartDrawing">
    <cdr:from>
      <cdr:x>0.59451</cdr:x>
      <cdr:y>0.16667</cdr:y>
    </cdr:from>
    <cdr:to>
      <cdr:x>0.96037</cdr:x>
      <cdr:y>0.30645</cdr:y>
    </cdr:to>
    <cdr:sp macro="" textlink="">
      <cdr:nvSpPr>
        <cdr:cNvPr id="2" name="Rectangle 1"/>
        <cdr:cNvSpPr/>
      </cdr:nvSpPr>
      <cdr:spPr>
        <a:xfrm xmlns:a="http://schemas.openxmlformats.org/drawingml/2006/main">
          <a:off x="1857376" y="295275"/>
          <a:ext cx="1143000" cy="247650"/>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Sales by product</a:t>
          </a:r>
        </a:p>
      </cdr:txBody>
    </cdr:sp>
  </cdr:relSizeAnchor>
</c:userShapes>
</file>

<file path=xl/drawings/drawing11.xml><?xml version="1.0" encoding="utf-8"?>
<c:userShapes xmlns:c="http://schemas.openxmlformats.org/drawingml/2006/chart">
  <cdr:relSizeAnchor xmlns:cdr="http://schemas.openxmlformats.org/drawingml/2006/chartDrawing">
    <cdr:from>
      <cdr:x>0.36364</cdr:x>
      <cdr:y>0.08602</cdr:y>
    </cdr:from>
    <cdr:to>
      <cdr:x>0.69519</cdr:x>
      <cdr:y>0.22043</cdr:y>
    </cdr:to>
    <cdr:sp macro="" textlink="">
      <cdr:nvSpPr>
        <cdr:cNvPr id="3" name="Rectangle 2"/>
        <cdr:cNvSpPr/>
      </cdr:nvSpPr>
      <cdr:spPr>
        <a:xfrm xmlns:a="http://schemas.openxmlformats.org/drawingml/2006/main">
          <a:off x="1295399" y="152399"/>
          <a:ext cx="1181100" cy="238125"/>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US">
              <a:solidFill>
                <a:schemeClr val="tx1"/>
              </a:solidFill>
            </a:rPr>
            <a:t>Sales by month</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abir Singh Karla" refreshedDate="45001.515543402777" createdVersion="8" refreshedVersion="8" minRefreshableVersion="3" recordCount="366">
  <cacheSource type="worksheet">
    <worksheetSource ref="A1:H367" sheet="Data"/>
  </cacheSource>
  <cacheFields count="10">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9" base="1">
        <rangePr groupBy="months" startDate="2021-01-01T00:00:00" endDate="2022-01-02T00:00:00"/>
        <groupItems count="14">
          <s v="&lt;01-01-2021"/>
          <s v="Jan"/>
          <s v="Feb"/>
          <s v="Mar"/>
          <s v="Apr"/>
          <s v="May"/>
          <s v="Jun"/>
          <s v="Jul"/>
          <s v="Aug"/>
          <s v="Sep"/>
          <s v="Oct"/>
          <s v="Nov"/>
          <s v="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Quarters" numFmtId="0" databaseField="0">
      <fieldGroup base="1">
        <rangePr groupBy="quarters" startDate="2021-01-01T00:00:00" endDate="2022-01-02T00:00:00"/>
        <groupItems count="6">
          <s v="&lt;01-01-2021"/>
          <s v="Qtr1"/>
          <s v="Qtr2"/>
          <s v="Qtr3"/>
          <s v="Qtr4"/>
          <s v="&gt;02-01-2022"/>
        </groupItems>
      </fieldGroup>
    </cacheField>
    <cacheField name="Years" numFmtId="0" databaseField="0">
      <fieldGroup base="1">
        <rangePr groupBy="years" startDate="2021-01-01T00:00:00" endDate="2022-01-02T00:00:00"/>
        <groupItems count="4">
          <s v="&lt;01-01-2021"/>
          <s v="2021"/>
          <s v="2022"/>
          <s v="&gt;02-01-2022"/>
        </groupItems>
      </fieldGroup>
    </cacheField>
  </cacheFields>
  <extLst>
    <ext xmlns:x14="http://schemas.microsoft.com/office/spreadsheetml/2009/9/main" uri="{725AE2AE-9491-48be-B2B4-4EB974FC3084}">
      <x14:pivotCacheDefinition pivotCacheId="1107009495"/>
    </ext>
  </extLst>
</pivotCacheDefinition>
</file>

<file path=xl/pivotCache/pivotCacheRecords1.xml><?xml version="1.0" encoding="utf-8"?>
<pivotCacheRecords xmlns="http://schemas.openxmlformats.org/spreadsheetml/2006/main" xmlns:r="http://schemas.openxmlformats.org/officeDocument/2006/relationships"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57:A58"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s>
  <rowItems count="1">
    <i/>
  </rowItems>
  <colItems count="1">
    <i/>
  </colItems>
  <dataFields count="1">
    <dataField name="Count of Amount" fld="7"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52:A53"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s>
  <rowItems count="1">
    <i/>
  </rowItems>
  <colItems count="1">
    <i/>
  </colItems>
  <dataFields count="1">
    <dataField name="Sum of Amount" fld="7"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Region"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41:B46"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s>
  <rowFields count="1">
    <field x="3"/>
  </rowFields>
  <rowItems count="5">
    <i>
      <x/>
    </i>
    <i>
      <x v="1"/>
    </i>
    <i>
      <x v="2"/>
    </i>
    <i>
      <x v="3"/>
    </i>
    <i t="grand">
      <x/>
    </i>
  </rowItems>
  <colItems count="1">
    <i/>
  </colItems>
  <dataFields count="1">
    <dataField name="Sum of Amount" fld="7"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months" cacheId="1"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chartFormat="8">
  <location ref="A21:B34"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items count="5">
        <item h="1" x="0"/>
        <item h="1" x="2"/>
        <item x="3"/>
        <item h="1" x="1"/>
        <item t="default"/>
      </items>
    </pivotField>
    <pivotField showAll="0">
      <items count="7">
        <item h="1" x="5"/>
        <item x="2"/>
        <item h="1" x="0"/>
        <item h="1" x="1"/>
        <item h="1" x="3"/>
        <item h="1" x="4"/>
        <item t="default"/>
      </items>
    </pivotField>
    <pivotField numFmtId="164" showAll="0"/>
    <pivotField numFmtId="164" showAll="0"/>
    <pivotField dataField="1" numFmtId="164" showAll="0"/>
    <pivotField showAll="0" defaultSubtotal="0"/>
    <pivotField showAll="0" defaultSubtotal="0"/>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items"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B10"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pivotField axis="axisRow" showAll="0">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Sum of Qty" fld="5" baseField="0" baseItem="0"/>
  </dataFields>
  <chartFormats count="5">
    <chartFormat chart="8"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13:M117" firstHeaderRow="1" firstDataRow="1" firstDataCol="1"/>
  <pivotFields count="10">
    <pivotField showAll="0"/>
    <pivotField numFmtId="14" showAll="0"/>
    <pivotField axis="axisRow" showAll="0" measureFilter="1">
      <items count="7">
        <item x="0"/>
        <item x="3"/>
        <item x="4"/>
        <item x="2"/>
        <item x="1"/>
        <item x="5"/>
        <item t="default"/>
      </items>
    </pivotField>
    <pivotField showAll="0"/>
    <pivotField showAll="0"/>
    <pivotField dataField="1" numFmtId="164" showAll="0"/>
    <pivotField numFmtId="164" showAll="0"/>
    <pivotField numFmtId="164" showAll="0"/>
    <pivotField showAll="0" defaultSubtotal="0"/>
    <pivotField showAll="0" defaultSubtotal="0"/>
  </pivotFields>
  <rowFields count="1">
    <field x="2"/>
  </rowFields>
  <rowItems count="4">
    <i>
      <x v="1"/>
    </i>
    <i>
      <x v="2"/>
    </i>
    <i>
      <x v="3"/>
    </i>
    <i t="grand">
      <x/>
    </i>
  </rowItems>
  <colItems count="1">
    <i/>
  </colItems>
  <dataFields count="1">
    <dataField name="Sum of Q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3">
  <location ref="D54:E67"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numFmtId="164" showAll="0"/>
    <pivotField numFmtId="164" showAll="0"/>
    <pivotField dataField="1"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Amount" fld="7"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18:D122" firstHeaderRow="1" firstDataRow="1" firstDataCol="1"/>
  <pivotFields count="10">
    <pivotField showAll="0"/>
    <pivotField numFmtId="14" showAll="0"/>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pivotField showAll="0"/>
    <pivotField dataField="1" numFmtId="164" showAll="0"/>
    <pivotField numFmtId="164" showAll="0"/>
    <pivotField numFmtId="164" showAll="0"/>
    <pivotField showAll="0" defaultSubtotal="0"/>
    <pivotField showAll="0" defaultSubtotal="0"/>
  </pivotFields>
  <rowFields count="1">
    <field x="2"/>
  </rowFields>
  <rowItems count="4">
    <i>
      <x v="4"/>
    </i>
    <i>
      <x/>
    </i>
    <i>
      <x v="5"/>
    </i>
    <i t="grand">
      <x/>
    </i>
  </rowItems>
  <colItems count="1">
    <i/>
  </colItems>
  <dataFields count="1">
    <dataField name="Sum of Q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7">
  <location ref="A11:B18"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Fields count="1">
    <field x="4"/>
  </rowFields>
  <rowItems count="7">
    <i>
      <x/>
    </i>
    <i>
      <x v="1"/>
    </i>
    <i>
      <x v="2"/>
    </i>
    <i>
      <x v="3"/>
    </i>
    <i>
      <x v="4"/>
    </i>
    <i>
      <x v="5"/>
    </i>
    <i t="grand">
      <x/>
    </i>
  </rowItems>
  <colItems count="1">
    <i/>
  </colItems>
  <dataFields count="1">
    <dataField name="Sum of Amount" fld="7"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155:F159" firstHeaderRow="1" firstDataRow="1" firstDataCol="1"/>
  <pivotFields count="10">
    <pivotField showAll="0"/>
    <pivotField numFmtId="14" showAll="0"/>
    <pivotField showAll="0"/>
    <pivotField showAll="0"/>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s>
  <rowFields count="1">
    <field x="4"/>
  </rowFields>
  <rowItems count="4">
    <i>
      <x v="4"/>
    </i>
    <i>
      <x v="5"/>
    </i>
    <i>
      <x/>
    </i>
    <i t="grand">
      <x/>
    </i>
  </rowItems>
  <colItems count="1">
    <i/>
  </colItems>
  <dataFields count="1">
    <dataField name="Sum of Qty" fld="5" baseField="0" baseItem="0"/>
  </dataFields>
  <formats count="1">
    <format dxfId="1">
      <pivotArea outline="0" collapsedLevelsAreSubtotals="1" fieldPosition="0"/>
    </format>
  </formats>
  <chartFormats count="3">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C127:D134" firstHeaderRow="1" firstDataRow="1" firstDataCol="1"/>
  <pivotFields count="10">
    <pivotField showAll="0"/>
    <pivotField numFmtId="14" showAll="0"/>
    <pivotField showAll="0">
      <items count="7">
        <item x="0"/>
        <item x="3"/>
        <item x="4"/>
        <item x="2"/>
        <item x="1"/>
        <item x="5"/>
        <item t="default"/>
      </items>
    </pivotField>
    <pivotField showAll="0"/>
    <pivotField axis="axisRow"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Sum of Amount" fld="7" baseField="0" baseItem="0"/>
  </dataFields>
  <formats count="2">
    <format dxfId="3">
      <pivotArea grandRow="1" outline="0" collapsedLevelsAreSubtotals="1" fieldPosition="0"/>
    </format>
    <format dxfId="2">
      <pivotArea collapsedLevelsAreSubtotals="1" fieldPosition="0">
        <references count="1">
          <reference field="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
  <location ref="E47:F52" firstHeaderRow="1" firstDataRow="1" firstDataCol="1"/>
  <pivotFields count="10">
    <pivotField showAll="0"/>
    <pivotField numFmtId="14" showAll="0"/>
    <pivotField showAll="0"/>
    <pivotField axis="axisRow" showAll="0">
      <items count="5">
        <item x="0"/>
        <item x="2"/>
        <item x="3"/>
        <item x="1"/>
        <item t="default"/>
      </items>
    </pivotField>
    <pivotField showAll="0"/>
    <pivotField numFmtId="164" showAll="0"/>
    <pivotField numFmtId="164" showAll="0"/>
    <pivotField dataField="1" numFmtId="164" showAll="0"/>
    <pivotField showAll="0" defaultSubtotal="0"/>
    <pivotField showAll="0" defaultSubtotal="0"/>
  </pivotFields>
  <rowFields count="1">
    <field x="3"/>
  </rowFields>
  <rowItems count="5">
    <i>
      <x/>
    </i>
    <i>
      <x v="1"/>
    </i>
    <i>
      <x v="2"/>
    </i>
    <i>
      <x v="3"/>
    </i>
    <i t="grand">
      <x/>
    </i>
  </rowItems>
  <colItems count="1">
    <i/>
  </colItems>
  <dataFields count="1">
    <dataField name="Sum of Amount" fld="7" baseField="0" baseItem="0" numFmtId="165"/>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33:M46"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dataField="1" numFmtId="164" showAll="0"/>
    <pivotField numFmtId="164" showAll="0"/>
    <pivotField numFmtId="164"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13">
    <i>
      <x v="1"/>
    </i>
    <i>
      <x v="2"/>
    </i>
    <i>
      <x v="3"/>
    </i>
    <i>
      <x v="4"/>
    </i>
    <i>
      <x v="5"/>
    </i>
    <i>
      <x v="6"/>
    </i>
    <i>
      <x v="7"/>
    </i>
    <i>
      <x v="8"/>
    </i>
    <i>
      <x v="9"/>
    </i>
    <i>
      <x v="10"/>
    </i>
    <i>
      <x v="11"/>
    </i>
    <i>
      <x v="12"/>
    </i>
    <i t="grand">
      <x/>
    </i>
  </rowItems>
  <colItems count="1">
    <i/>
  </colItems>
  <dataFields count="1">
    <dataField name="Sum of Q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C90:D97" firstHeaderRow="1" firstDataRow="1" firstDataCol="1"/>
  <pivotFields count="10">
    <pivotField showAll="0"/>
    <pivotField numFmtId="14" showAll="0"/>
    <pivotField showAll="0"/>
    <pivotField showAll="0"/>
    <pivotField axis="axisRow" showAll="0" sortType="a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s>
  <rowFields count="1">
    <field x="4"/>
  </rowFields>
  <rowItems count="7">
    <i>
      <x/>
    </i>
    <i>
      <x v="5"/>
    </i>
    <i>
      <x v="4"/>
    </i>
    <i>
      <x v="1"/>
    </i>
    <i>
      <x v="2"/>
    </i>
    <i>
      <x v="3"/>
    </i>
    <i t="grand">
      <x/>
    </i>
  </rowItems>
  <colItems count="1">
    <i/>
  </colItems>
  <dataFields count="1">
    <dataField name="Sum of Qty" fld="5" baseField="0" baseItem="0"/>
  </dataFields>
  <chartFormats count="5">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26:G133" firstHeaderRow="1" firstDataRow="1" firstDataCol="1"/>
  <pivotFields count="10">
    <pivotField showAll="0"/>
    <pivotField numFmtId="14" showAll="0"/>
    <pivotField showAll="0">
      <items count="7">
        <item x="0"/>
        <item x="3"/>
        <item x="4"/>
        <item x="2"/>
        <item x="1"/>
        <item x="5"/>
        <item t="default"/>
      </items>
    </pivotField>
    <pivotField showAll="0"/>
    <pivotField axis="axisRow" showAll="0">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Sum of Qty" fld="5" baseField="0" baseItem="0"/>
  </dataFields>
  <formats count="1">
    <format dxfId="5">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4">
  <location ref="F78:G85" firstHeaderRow="1" firstDataRow="1" firstDataCol="1"/>
  <pivotFields count="10">
    <pivotField showAll="0"/>
    <pivotField numFmtId="14" showAll="0"/>
    <pivotField showAll="0"/>
    <pivotField showAll="0"/>
    <pivotField axis="axisRow" showAll="0"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s>
  <rowFields count="1">
    <field x="4"/>
  </rowFields>
  <rowItems count="7">
    <i>
      <x v="3"/>
    </i>
    <i>
      <x v="2"/>
    </i>
    <i>
      <x v="1"/>
    </i>
    <i>
      <x v="4"/>
    </i>
    <i>
      <x v="5"/>
    </i>
    <i>
      <x/>
    </i>
    <i t="grand">
      <x/>
    </i>
  </rowItems>
  <colItems count="1">
    <i/>
  </colItems>
  <dataFields count="1">
    <dataField name="Sum of Qty" fld="5" baseField="0" baseItem="0"/>
  </dataFields>
  <chartFormats count="6">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
  <location ref="B45:C52" firstHeaderRow="1" firstDataRow="1" firstDataCol="1"/>
  <pivotFields count="10">
    <pivotField showAll="0"/>
    <pivotField numFmtId="14" showAll="0"/>
    <pivotField showAll="0"/>
    <pivotField showAll="0"/>
    <pivotField axis="axisRow" showAll="0">
      <items count="7">
        <item x="5"/>
        <item x="2"/>
        <item x="0"/>
        <item x="1"/>
        <item x="3"/>
        <item x="4"/>
        <item t="default"/>
      </items>
    </pivotField>
    <pivotField numFmtId="164" showAll="0"/>
    <pivotField numFmtId="164" showAll="0"/>
    <pivotField dataField="1" numFmtId="164"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Sum of Amount" fld="7" baseField="0" baseItem="0"/>
  </dataFields>
  <formats count="1">
    <format dxfId="6">
      <pivotArea collapsedLevelsAreSubtotals="1" fieldPosition="0">
        <references count="1">
          <reference field="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9">
  <location ref="I71:J78" firstHeaderRow="1" firstDataRow="1" firstDataCol="1"/>
  <pivotFields count="10">
    <pivotField showAll="0"/>
    <pivotField numFmtId="14" showAll="0"/>
    <pivotField showAll="0"/>
    <pivotField showAll="0"/>
    <pivotField axis="axisRow" showAll="0" sortType="ascending">
      <items count="7">
        <item x="4"/>
        <item x="3"/>
        <item x="1"/>
        <item x="0"/>
        <item x="2"/>
        <item x="5"/>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showAll="0" defaultSubtotal="0"/>
    <pivotField showAll="0" defaultSubtotal="0"/>
  </pivotFields>
  <rowFields count="1">
    <field x="4"/>
  </rowFields>
  <rowItems count="7">
    <i>
      <x v="5"/>
    </i>
    <i>
      <x/>
    </i>
    <i>
      <x v="1"/>
    </i>
    <i>
      <x v="4"/>
    </i>
    <i>
      <x v="3"/>
    </i>
    <i>
      <x v="2"/>
    </i>
    <i t="grand">
      <x/>
    </i>
  </rowItems>
  <colItems count="1">
    <i/>
  </colItems>
  <dataFields count="1">
    <dataField name="Sum of Qty" fld="5" baseField="0" baseItem="0"/>
  </dataFields>
  <chartFormats count="9">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6">
  <location ref="C77:D84" firstHeaderRow="1" firstDataRow="1" firstDataCol="1"/>
  <pivotFields count="10">
    <pivotField showAll="0"/>
    <pivotField numFmtId="14" showAll="0"/>
    <pivotField showAll="0"/>
    <pivotField showAll="0"/>
    <pivotField axis="axisRow" showAll="0">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Sum of Qty" fld="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3">
  <location ref="B100:C107" firstHeaderRow="1" firstDataRow="1" firstDataCol="1"/>
  <pivotFields count="10">
    <pivotField showAll="0"/>
    <pivotField numFmtId="14" showAll="0"/>
    <pivotField axis="axisRow" showAll="0">
      <items count="7">
        <item x="0"/>
        <item x="3"/>
        <item x="4"/>
        <item x="2"/>
        <item x="1"/>
        <item x="5"/>
        <item t="default"/>
      </items>
    </pivotField>
    <pivotField showAll="0"/>
    <pivotField showAll="0">
      <items count="7">
        <item h="1" x="5"/>
        <item h="1" x="2"/>
        <item h="1" x="0"/>
        <item h="1" x="1"/>
        <item x="3"/>
        <item h="1" x="4"/>
        <item t="default"/>
      </items>
    </pivotField>
    <pivotField numFmtId="164" showAll="0"/>
    <pivotField numFmtId="164" showAll="0"/>
    <pivotField dataField="1" numFmtId="164" showAll="0"/>
    <pivotField showAll="0" defaultSubtotal="0"/>
    <pivotField showAll="0" defaultSubtotal="0"/>
  </pivotFields>
  <rowFields count="1">
    <field x="2"/>
  </rowFields>
  <rowItems count="7">
    <i>
      <x/>
    </i>
    <i>
      <x v="1"/>
    </i>
    <i>
      <x v="2"/>
    </i>
    <i>
      <x v="3"/>
    </i>
    <i>
      <x v="4"/>
    </i>
    <i>
      <x v="5"/>
    </i>
    <i t="grand">
      <x/>
    </i>
  </rowItems>
  <colItems count="1">
    <i/>
  </colItems>
  <dataFields count="1">
    <dataField name="Sum of Amount" fld="7"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3:C31" firstHeaderRow="1" firstDataRow="1" firstDataCol="1"/>
  <pivotFields count="10">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numFmtId="164" showAll="0"/>
    <pivotField numFmtId="164" showAll="0"/>
    <pivotField numFmtId="164" showAll="0"/>
    <pivotField axis="axisRow" showAll="0">
      <items count="7">
        <item sd="0" x="0"/>
        <item sd="0" x="1"/>
        <item sd="0" x="2"/>
        <item sd="0" x="3"/>
        <item sd="0" x="4"/>
        <item sd="0" x="5"/>
        <item t="default"/>
      </items>
    </pivotField>
    <pivotField axis="axisRow" showAll="0">
      <items count="5">
        <item x="0"/>
        <item x="1"/>
        <item x="2"/>
        <item x="3"/>
        <item t="default"/>
      </items>
    </pivotField>
  </pivotFields>
  <rowFields count="3">
    <field x="9"/>
    <field x="8"/>
    <field x="1"/>
  </rowFields>
  <rowItems count="8">
    <i>
      <x v="1"/>
    </i>
    <i r="1">
      <x v="1"/>
    </i>
    <i r="1">
      <x v="2"/>
    </i>
    <i r="1">
      <x v="3"/>
    </i>
    <i r="1">
      <x v="4"/>
    </i>
    <i>
      <x v="2"/>
    </i>
    <i r="1">
      <x v="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7:F34" firstHeaderRow="1" firstDataRow="1" firstDataCol="0"/>
  <pivotFields count="10">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numFmtId="164" showAll="0"/>
    <pivotField numFmtId="164" showAll="0"/>
    <pivotField numFmtId="164" showAll="0"/>
    <pivotField showAll="0">
      <items count="7">
        <item x="0"/>
        <item x="1"/>
        <item x="2"/>
        <item x="3"/>
        <item x="4"/>
        <item x="5"/>
        <item t="default"/>
      </items>
    </pivotField>
    <pivotField showAll="0">
      <items count="5">
        <item x="0"/>
        <item x="1"/>
        <item x="2"/>
        <item x="3"/>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E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pivotField numFmtId="164" showAll="0"/>
    <pivotField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Amount" fld="7" baseField="0" baseItem="0"/>
  </dataFields>
  <formats count="3">
    <format dxfId="10">
      <pivotArea collapsedLevelsAreSubtotals="1" fieldPosition="0">
        <references count="1">
          <reference field="3" count="1">
            <x v="0"/>
          </reference>
        </references>
      </pivotArea>
    </format>
    <format dxfId="9">
      <pivotArea collapsedLevelsAreSubtotals="1" fieldPosition="0">
        <references count="1">
          <reference field="3" count="3">
            <x v="1"/>
            <x v="2"/>
            <x v="3"/>
          </reference>
        </references>
      </pivotArea>
    </format>
    <format dxfId="8">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B7" firstHeaderRow="1" firstDataRow="1" firstDataCol="1"/>
  <pivotFields count="10">
    <pivotField showAll="0"/>
    <pivotField numFmtId="14" showAll="0">
      <items count="15">
        <item x="0"/>
        <item x="1"/>
        <item x="2"/>
        <item x="3"/>
        <item x="4"/>
        <item x="5"/>
        <item x="6"/>
        <item x="7"/>
        <item x="8"/>
        <item x="9"/>
        <item x="10"/>
        <item x="11"/>
        <item x="12"/>
        <item x="13"/>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7">
        <item x="0"/>
        <item x="1"/>
        <item x="2"/>
        <item x="3"/>
        <item x="4"/>
        <item x="5"/>
        <item t="default"/>
      </items>
    </pivotField>
    <pivotField showAll="0">
      <items count="5">
        <item x="0"/>
        <item x="1"/>
        <item x="2"/>
        <item x="3"/>
        <item t="default"/>
      </items>
    </pivotField>
  </pivotFields>
  <rowFields count="1">
    <field x="3"/>
  </rowFields>
  <rowItems count="5">
    <i>
      <x/>
    </i>
    <i>
      <x v="1"/>
    </i>
    <i>
      <x v="2"/>
    </i>
    <i>
      <x v="3"/>
    </i>
    <i t="grand">
      <x/>
    </i>
  </rowItems>
  <colItems count="1">
    <i/>
  </colItems>
  <dataFields count="1">
    <dataField name="Sum of Amount" fld="7" baseField="0" baseItem="0" numFmtId="165"/>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E142:F146" firstHeaderRow="1" firstDataRow="1" firstDataCol="1"/>
  <pivotFields count="10">
    <pivotField showAll="0"/>
    <pivotField numFmtId="14" showAll="0"/>
    <pivotField showAll="0"/>
    <pivotField showAll="0"/>
    <pivotField axis="axisRow" showAll="0" measureFilter="1">
      <items count="7">
        <item x="5"/>
        <item x="2"/>
        <item x="0"/>
        <item x="1"/>
        <item x="3"/>
        <item x="4"/>
        <item t="default"/>
      </items>
    </pivotField>
    <pivotField dataField="1" numFmtId="164" showAll="0"/>
    <pivotField numFmtId="164" showAll="0"/>
    <pivotField numFmtId="164" showAll="0"/>
    <pivotField showAll="0" defaultSubtotal="0"/>
    <pivotField showAll="0" defaultSubtotal="0"/>
  </pivotFields>
  <rowFields count="1">
    <field x="4"/>
  </rowFields>
  <rowItems count="4">
    <i>
      <x v="1"/>
    </i>
    <i>
      <x v="2"/>
    </i>
    <i>
      <x v="3"/>
    </i>
    <i t="grand">
      <x/>
    </i>
  </rowItems>
  <colItems count="1">
    <i/>
  </colItems>
  <dataFields count="1">
    <dataField name="Sum of Qty" fld="5" baseField="0" baseItem="0"/>
  </dataFields>
  <formats count="1">
    <format dxfId="12">
      <pivotArea outline="0" collapsedLevelsAreSubtotals="1" fieldPosition="0"/>
    </format>
  </formats>
  <chartFormats count="4">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Item1" sourceName="Item">
  <pivotTables>
    <pivotTable tabId="3" name="PivotTable1"/>
  </pivotTables>
  <data>
    <tabular pivotCacheId="1107009495">
      <items count="6">
        <i x="5" s="1"/>
        <i x="2" s="1"/>
        <i x="0"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2" sourceName="Region">
  <pivotTables>
    <pivotTable tabId="3" name="PivotTable3"/>
  </pivotTables>
  <data>
    <tabular pivotCacheId="1107009495">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2" sourceName="Item">
  <pivotTables>
    <pivotTable tabId="3" name="PivotTable7"/>
  </pivotTables>
  <data>
    <tabular pivotCacheId="1107009495">
      <items count="6">
        <i x="5" s="1"/>
        <i x="2" s="1"/>
        <i x="0" s="1"/>
        <i x="1"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1" sourceName="Region">
  <pivotTables>
    <pivotTable tabId="3" name="PivotTable8"/>
  </pivotTables>
  <data>
    <tabular pivotCacheId="1107009495">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Item3" sourceName="Item">
  <pivotTables>
    <pivotTable tabId="3" name="PivotTable10"/>
    <pivotTable tabId="3" name="PivotTable12"/>
    <pivotTable tabId="3" name="PivotTable16"/>
    <pivotTable tabId="3" name="PivotTable11"/>
  </pivotTables>
  <data>
    <tabular pivotCacheId="1107009495">
      <items count="6">
        <i x="5" s="1"/>
        <i x="2" s="1"/>
        <i x="0" s="1"/>
        <i x="1" s="1"/>
        <i x="3"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Item4" sourceName="Item">
  <pivotTables>
    <pivotTable tabId="3" name="PivotTable14"/>
  </pivotTables>
  <data>
    <tabular pivotCacheId="1107009495">
      <items count="6">
        <i x="5"/>
        <i x="2"/>
        <i x="0"/>
        <i x="1"/>
        <i x="3" s="1"/>
        <i x="4"/>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Region3" sourceName="Region">
  <pivotTables>
    <pivotTable tabId="3" name="PivotTable2"/>
  </pivotTables>
  <data>
    <tabular pivotCacheId="1107009495">
      <items count="4">
        <i x="0" s="1"/>
        <i x="2" s="1"/>
        <i x="3"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Item5" sourceName="Item">
  <pivotTables>
    <pivotTable tabId="3" name="PivotTable2"/>
  </pivotTables>
  <data>
    <tabular pivotCacheId="1107009495">
      <items count="6">
        <i x="5" s="1"/>
        <i x="2" s="1"/>
        <i x="0" s="1"/>
        <i x="1" s="1"/>
        <i x="3" s="1"/>
        <i x="4"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Region4" sourceName="Region">
  <pivotTables>
    <pivotTable tabId="11" name="PivotRegion"/>
  </pivotTables>
  <data>
    <tabular pivotCacheId="1107009495">
      <items count="4">
        <i x="0" s="1"/>
        <i x="2" s="1"/>
        <i x="3" s="1"/>
        <i x="1"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Item6" sourceName="Item">
  <pivotTables>
    <pivotTable tabId="11" name="Pivotitems"/>
  </pivotTables>
  <data>
    <tabular pivotCacheId="1107009495">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6" cache="Slicer_Region4" caption="Region" columnCount="2" rowHeight="241300"/>
  <slicer name="Item 9" cache="Slicer_Item6" caption="Item" columnCount="6"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Item" cache="Slicer_Item2" caption="Item" columnCount="6" rowHeight="241300"/>
  <slicer name="Region" cache="Slicer_Region1" caption="Region" rowHeight="241300"/>
  <slicer name="Item 2" cache="Slicer_Item3" caption="Item" columnCount="6" rowHeight="241300"/>
  <slicer name="Item 4" cache="Slicer_Item4" caption="Item" columnCount="6" rowHeight="241300"/>
  <slicer name="Region 4" cache="Slicer_Region3" caption="Region" rowHeight="234950"/>
  <slicer name="Item 7" cache="Slicer_Item5" caption="Item" columnCount="6"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Item 1" cache="Slicer_Item2" caption="Item" columnCount="6" rowHeight="241300"/>
  <slicer name="Region 1" cache="Slicer_Region1" caption="Region" columnCount="2"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2" cache="Slicer_Region1" caption="Region" columnCount="2" rowHeight="241300"/>
  <slicer name="Item 3" cache="Slicer_Item3" caption="Item" columnCount="6"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Region 3" cache="Slicer_Region1" caption="Region" columnCount="2" rowHeight="241300"/>
  <slicer name="Item 5" cache="Slicer_Item4" caption="Item" columnCount="6" rowHeight="241300"/>
</slicers>
</file>

<file path=xl/slicers/slicer6.xml><?xml version="1.0" encoding="utf-8"?>
<slicers xmlns="http://schemas.microsoft.com/office/spreadsheetml/2009/9/main" xmlns:mc="http://schemas.openxmlformats.org/markup-compatibility/2006" xmlns:x="http://schemas.openxmlformats.org/spreadsheetml/2006/main" mc:Ignorable="x">
  <slicer name="Item 6" cache="Slicer_Item1" caption="Item" columnCount="6" rowHeight="182880"/>
  <slicer name="Region 7" cache="Slicer_Region2" caption="Region" columnCount="2" rowHeight="234950"/>
</slicers>
</file>

<file path=xl/slicers/slicer7.xml><?xml version="1.0" encoding="utf-8"?>
<slicers xmlns="http://schemas.microsoft.com/office/spreadsheetml/2009/9/main" xmlns:mc="http://schemas.openxmlformats.org/markup-compatibility/2006" xmlns:x="http://schemas.openxmlformats.org/spreadsheetml/2006/main" mc:Ignorable="x">
  <slicer name="Region 5" cache="Slicer_Region4" caption="Region" columnCount="2" rowHeight="241300"/>
  <slicer name="Item 8" cache="Slicer_Item6" caption="Item" columnCoun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1" sourceName="Date">
  <pivotTables>
    <pivotTable tabId="3" name="PivotTable1"/>
  </pivotTables>
  <state minimalRefreshVersion="6" lastRefreshVersion="6" pivotCacheId="1107009495" filterType="unknown">
    <bounds startDate="2021-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2" sourceName="Date">
  <pivotTables>
    <pivotTable tabId="3" name="PivotTable9"/>
  </pivotTables>
  <state minimalRefreshVersion="6" lastRefreshVersion="6" pivotCacheId="1107009495" filterType="unknown">
    <bounds startDate="2021-01-01T00:00:00" endDate="2023-01-01T00:00:00"/>
  </state>
</timelineCacheDefinition>
</file>

<file path=xl/timelineCaches/timelineCache3.xml><?xml version="1.0" encoding="utf-8"?>
<timelineCacheDefinition xmlns="http://schemas.microsoft.com/office/spreadsheetml/2010/11/main" xmlns:x15="http://schemas.microsoft.com/office/spreadsheetml/2010/11/main" name="NativeTimeline_Date3" sourceName="Date">
  <pivotTables>
    <pivotTable tabId="11" name="Pivotmonths"/>
  </pivotTables>
  <state minimalRefreshVersion="6" lastRefreshVersion="6" pivotCacheId="1107009495"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5" cache="NativeTimeline_Date3" caption="Date"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cache="NativeTimeline_Date2"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1" cache="NativeTimeline_Date2"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Date 2" cache="NativeTimeline_Date2"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mc:Ignorable="x">
  <timeline name="Date 3" cache="NativeTimeline_Date2" caption="Date" showSelectionLabel="0" showTimeLevel="0" showHorizontalScrollbar="0" level="2" selectionLevel="2" scrollPosition="2021-01-01T00:00:00"/>
</timelines>
</file>

<file path=xl/timelines/timeline6.xml><?xml version="1.0" encoding="utf-8"?>
<timelines xmlns="http://schemas.microsoft.com/office/spreadsheetml/2010/11/main" xmlns:mc="http://schemas.openxmlformats.org/markup-compatibility/2006" xmlns:x="http://schemas.openxmlformats.org/spreadsheetml/2006/main" mc:Ignorable="x">
  <timeline name="Date 6" cache="NativeTimeline_Date1" caption="Date" showSelectionLabel="0" showTimeLevel="0" showHorizontalScrollbar="0"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mc:Ignorable="x">
  <timeline name="Date 4" cache="NativeTimeline_Date3" caption="Date" showHorizontalScrollbar="0" level="2" selectionLevel="2" scrollPosition="2021-01-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openxmlformats.org/officeDocument/2006/relationships/pivotTable" Target="../pivotTables/pivotTable18.xml"/><Relationship Id="rId18" Type="http://schemas.openxmlformats.org/officeDocument/2006/relationships/pivotTable" Target="../pivotTables/pivotTable23.xml"/><Relationship Id="rId3" Type="http://schemas.openxmlformats.org/officeDocument/2006/relationships/pivotTable" Target="../pivotTables/pivotTable8.xml"/><Relationship Id="rId21" Type="http://schemas.openxmlformats.org/officeDocument/2006/relationships/drawing" Target="../drawings/drawing4.xml"/><Relationship Id="rId7" Type="http://schemas.openxmlformats.org/officeDocument/2006/relationships/pivotTable" Target="../pivotTables/pivotTable12.xml"/><Relationship Id="rId12" Type="http://schemas.openxmlformats.org/officeDocument/2006/relationships/pivotTable" Target="../pivotTables/pivotTable17.xml"/><Relationship Id="rId17" Type="http://schemas.openxmlformats.org/officeDocument/2006/relationships/pivotTable" Target="../pivotTables/pivotTable22.xml"/><Relationship Id="rId2" Type="http://schemas.openxmlformats.org/officeDocument/2006/relationships/pivotTable" Target="../pivotTables/pivotTable7.xml"/><Relationship Id="rId16" Type="http://schemas.openxmlformats.org/officeDocument/2006/relationships/pivotTable" Target="../pivotTables/pivotTable21.xml"/><Relationship Id="rId20" Type="http://schemas.openxmlformats.org/officeDocument/2006/relationships/pivotTable" Target="../pivotTables/pivotTable25.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5" Type="http://schemas.openxmlformats.org/officeDocument/2006/relationships/pivotTable" Target="../pivotTables/pivotTable20.xml"/><Relationship Id="rId23" Type="http://schemas.microsoft.com/office/2011/relationships/timeline" Target="../timelines/timeline2.xml"/><Relationship Id="rId10" Type="http://schemas.openxmlformats.org/officeDocument/2006/relationships/pivotTable" Target="../pivotTables/pivotTable15.xml"/><Relationship Id="rId19" Type="http://schemas.openxmlformats.org/officeDocument/2006/relationships/pivotTable" Target="../pivotTables/pivotTable24.xml"/><Relationship Id="rId4" Type="http://schemas.openxmlformats.org/officeDocument/2006/relationships/pivotTable" Target="../pivotTables/pivotTable9.xml"/><Relationship Id="rId9" Type="http://schemas.openxmlformats.org/officeDocument/2006/relationships/pivotTable" Target="../pivotTables/pivotTable14.xml"/><Relationship Id="rId14" Type="http://schemas.openxmlformats.org/officeDocument/2006/relationships/pivotTable" Target="../pivotTables/pivotTable19.xml"/><Relationship Id="rId22"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rinterSettings" Target="../printerSettings/printerSettings1.bin"/><Relationship Id="rId4" Type="http://schemas.microsoft.com/office/2011/relationships/timeline" Target="../timelines/timelin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rinterSettings" Target="../printerSettings/printerSettings2.bin"/><Relationship Id="rId4" Type="http://schemas.microsoft.com/office/2011/relationships/timeline" Target="../timelines/timeline4.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rinterSettings" Target="../printerSettings/printerSettings3.bin"/><Relationship Id="rId4" Type="http://schemas.microsoft.com/office/2011/relationships/timeline" Target="../timelines/timeline5.xml"/></Relationships>
</file>

<file path=xl/worksheets/_rels/sheet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rinterSettings" Target="../printerSettings/printerSettings4.bin"/><Relationship Id="rId4" Type="http://schemas.microsoft.com/office/2011/relationships/timeline" Target="../timelines/timeline6.xml"/></Relationships>
</file>

<file path=xl/worksheets/_rels/sheet9.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5" zoomScaleNormal="7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8"/>
  <sheetViews>
    <sheetView zoomScale="82" zoomScaleNormal="82" workbookViewId="0">
      <selection activeCell="A3" sqref="A3:B10"/>
    </sheetView>
  </sheetViews>
  <sheetFormatPr defaultRowHeight="15" x14ac:dyDescent="0.25"/>
  <cols>
    <col min="1" max="1" width="13.7109375" customWidth="1"/>
    <col min="2" max="2" width="11" customWidth="1"/>
  </cols>
  <sheetData>
    <row r="3" spans="1:2" x14ac:dyDescent="0.25">
      <c r="A3" s="11" t="s">
        <v>24</v>
      </c>
      <c r="B3" t="s">
        <v>45</v>
      </c>
    </row>
    <row r="4" spans="1:2" x14ac:dyDescent="0.25">
      <c r="A4" s="12" t="s">
        <v>21</v>
      </c>
      <c r="B4" s="26">
        <v>132</v>
      </c>
    </row>
    <row r="5" spans="1:2" x14ac:dyDescent="0.25">
      <c r="A5" s="12" t="s">
        <v>15</v>
      </c>
      <c r="B5" s="26">
        <v>251</v>
      </c>
    </row>
    <row r="6" spans="1:2" x14ac:dyDescent="0.25">
      <c r="A6" s="12" t="s">
        <v>10</v>
      </c>
      <c r="B6" s="26">
        <v>319</v>
      </c>
    </row>
    <row r="7" spans="1:2" x14ac:dyDescent="0.25">
      <c r="A7" s="12" t="s">
        <v>13</v>
      </c>
      <c r="B7" s="26">
        <v>445</v>
      </c>
    </row>
    <row r="8" spans="1:2" x14ac:dyDescent="0.25">
      <c r="A8" s="12" t="s">
        <v>17</v>
      </c>
      <c r="B8" s="26">
        <v>242</v>
      </c>
    </row>
    <row r="9" spans="1:2" x14ac:dyDescent="0.25">
      <c r="A9" s="12" t="s">
        <v>19</v>
      </c>
      <c r="B9" s="26">
        <v>218</v>
      </c>
    </row>
    <row r="10" spans="1:2" x14ac:dyDescent="0.25">
      <c r="A10" s="12" t="s">
        <v>25</v>
      </c>
      <c r="B10" s="26">
        <v>1607</v>
      </c>
    </row>
    <row r="21" spans="1:2" x14ac:dyDescent="0.25">
      <c r="A21" s="11" t="s">
        <v>24</v>
      </c>
      <c r="B21" t="s">
        <v>26</v>
      </c>
    </row>
    <row r="22" spans="1:2" x14ac:dyDescent="0.25">
      <c r="A22" s="24" t="s">
        <v>29</v>
      </c>
      <c r="B22" s="26">
        <v>143130</v>
      </c>
    </row>
    <row r="23" spans="1:2" x14ac:dyDescent="0.25">
      <c r="A23" s="24" t="s">
        <v>30</v>
      </c>
      <c r="B23" s="26">
        <v>224470</v>
      </c>
    </row>
    <row r="24" spans="1:2" x14ac:dyDescent="0.25">
      <c r="A24" s="24" t="s">
        <v>31</v>
      </c>
      <c r="B24" s="26">
        <v>86100</v>
      </c>
    </row>
    <row r="25" spans="1:2" x14ac:dyDescent="0.25">
      <c r="A25" s="24" t="s">
        <v>33</v>
      </c>
      <c r="B25" s="26">
        <v>153530</v>
      </c>
    </row>
    <row r="26" spans="1:2" x14ac:dyDescent="0.25">
      <c r="A26" s="24" t="s">
        <v>34</v>
      </c>
      <c r="B26" s="26">
        <v>110160</v>
      </c>
    </row>
    <row r="27" spans="1:2" x14ac:dyDescent="0.25">
      <c r="A27" s="24" t="s">
        <v>35</v>
      </c>
      <c r="B27" s="26">
        <v>118530</v>
      </c>
    </row>
    <row r="28" spans="1:2" x14ac:dyDescent="0.25">
      <c r="A28" s="24" t="s">
        <v>37</v>
      </c>
      <c r="B28" s="26">
        <v>130100</v>
      </c>
    </row>
    <row r="29" spans="1:2" x14ac:dyDescent="0.25">
      <c r="A29" s="24" t="s">
        <v>38</v>
      </c>
      <c r="B29" s="26">
        <v>156300</v>
      </c>
    </row>
    <row r="30" spans="1:2" x14ac:dyDescent="0.25">
      <c r="A30" s="24" t="s">
        <v>39</v>
      </c>
      <c r="B30" s="26">
        <v>223770</v>
      </c>
    </row>
    <row r="31" spans="1:2" x14ac:dyDescent="0.25">
      <c r="A31" s="24" t="s">
        <v>41</v>
      </c>
      <c r="B31" s="26">
        <v>197350</v>
      </c>
    </row>
    <row r="32" spans="1:2" x14ac:dyDescent="0.25">
      <c r="A32" s="24" t="s">
        <v>42</v>
      </c>
      <c r="B32" s="26">
        <v>31520</v>
      </c>
    </row>
    <row r="33" spans="1:2" x14ac:dyDescent="0.25">
      <c r="A33" s="24" t="s">
        <v>43</v>
      </c>
      <c r="B33" s="26">
        <v>207610</v>
      </c>
    </row>
    <row r="34" spans="1:2" x14ac:dyDescent="0.25">
      <c r="A34" s="24" t="s">
        <v>25</v>
      </c>
      <c r="B34" s="26">
        <v>1782570</v>
      </c>
    </row>
    <row r="41" spans="1:2" x14ac:dyDescent="0.25">
      <c r="A41" s="11" t="s">
        <v>24</v>
      </c>
      <c r="B41" t="s">
        <v>26</v>
      </c>
    </row>
    <row r="42" spans="1:2" x14ac:dyDescent="0.25">
      <c r="A42" s="12" t="s">
        <v>9</v>
      </c>
      <c r="B42" s="26">
        <v>736080</v>
      </c>
    </row>
    <row r="43" spans="1:2" x14ac:dyDescent="0.25">
      <c r="A43" s="12" t="s">
        <v>22</v>
      </c>
      <c r="B43" s="26">
        <v>203680</v>
      </c>
    </row>
    <row r="44" spans="1:2" x14ac:dyDescent="0.25">
      <c r="A44" s="12" t="s">
        <v>23</v>
      </c>
      <c r="B44" s="26">
        <v>335480</v>
      </c>
    </row>
    <row r="45" spans="1:2" x14ac:dyDescent="0.25">
      <c r="A45" s="12" t="s">
        <v>12</v>
      </c>
      <c r="B45" s="26">
        <v>507330</v>
      </c>
    </row>
    <row r="46" spans="1:2" x14ac:dyDescent="0.25">
      <c r="A46" s="12" t="s">
        <v>25</v>
      </c>
      <c r="B46" s="26">
        <v>1782570</v>
      </c>
    </row>
    <row r="52" spans="1:2" x14ac:dyDescent="0.25">
      <c r="A52" t="s">
        <v>26</v>
      </c>
    </row>
    <row r="53" spans="1:2" x14ac:dyDescent="0.25">
      <c r="A53" s="26">
        <v>1782570</v>
      </c>
      <c r="B53">
        <f>GETPIVOTDATA("Amount",$A$52)</f>
        <v>1782570</v>
      </c>
    </row>
    <row r="57" spans="1:2" x14ac:dyDescent="0.25">
      <c r="A57" t="s">
        <v>50</v>
      </c>
    </row>
    <row r="58" spans="1:2" x14ac:dyDescent="0.25">
      <c r="A58" s="26">
        <v>366</v>
      </c>
      <c r="B58">
        <f>GETPIVOTDATA("Amount",$A$57)</f>
        <v>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67"/>
  <sheetViews>
    <sheetView zoomScale="71" workbookViewId="0">
      <selection sqref="A1:H367"/>
    </sheetView>
  </sheetViews>
  <sheetFormatPr defaultColWidth="13.28515625" defaultRowHeight="18.75" x14ac:dyDescent="0.3"/>
  <cols>
    <col min="1" max="1" width="13.28515625" style="5"/>
    <col min="2" max="2" width="17.42578125" style="5" customWidth="1"/>
    <col min="3" max="5" width="13.28515625" style="5"/>
    <col min="6" max="7" width="13.28515625" style="10"/>
    <col min="8" max="8" width="19.140625" style="10" customWidth="1"/>
    <col min="9" max="16384" width="13.28515625" style="5"/>
  </cols>
  <sheetData>
    <row r="1" spans="1:8" x14ac:dyDescent="0.3">
      <c r="A1" s="1" t="s">
        <v>0</v>
      </c>
      <c r="B1" s="2" t="s">
        <v>1</v>
      </c>
      <c r="C1" s="3" t="s">
        <v>2</v>
      </c>
      <c r="D1" s="3" t="s">
        <v>3</v>
      </c>
      <c r="E1" s="3" t="s">
        <v>4</v>
      </c>
      <c r="F1" s="4" t="s">
        <v>5</v>
      </c>
      <c r="G1" s="4" t="s">
        <v>6</v>
      </c>
      <c r="H1" s="4" t="s">
        <v>7</v>
      </c>
    </row>
    <row r="2" spans="1:8" x14ac:dyDescent="0.3">
      <c r="A2" s="6">
        <v>1</v>
      </c>
      <c r="B2" s="7">
        <v>44197</v>
      </c>
      <c r="C2" s="8" t="s">
        <v>8</v>
      </c>
      <c r="D2" s="8" t="s">
        <v>9</v>
      </c>
      <c r="E2" s="8" t="s">
        <v>10</v>
      </c>
      <c r="F2" s="9">
        <v>7</v>
      </c>
      <c r="G2" s="9">
        <v>210</v>
      </c>
      <c r="H2" s="9">
        <f>F2*G2</f>
        <v>1470</v>
      </c>
    </row>
    <row r="3" spans="1:8" x14ac:dyDescent="0.3">
      <c r="A3" s="6">
        <v>2</v>
      </c>
      <c r="B3" s="7">
        <v>44198</v>
      </c>
      <c r="C3" s="8" t="s">
        <v>11</v>
      </c>
      <c r="D3" s="8" t="s">
        <v>12</v>
      </c>
      <c r="E3" s="8" t="s">
        <v>13</v>
      </c>
      <c r="F3" s="9">
        <v>6</v>
      </c>
      <c r="G3" s="9">
        <v>2100</v>
      </c>
      <c r="H3" s="9">
        <f t="shared" ref="H3:H66" si="0">F3*G3</f>
        <v>12600</v>
      </c>
    </row>
    <row r="4" spans="1:8" x14ac:dyDescent="0.3">
      <c r="A4" s="6">
        <v>3</v>
      </c>
      <c r="B4" s="7">
        <v>44199</v>
      </c>
      <c r="C4" s="8" t="s">
        <v>14</v>
      </c>
      <c r="D4" s="8" t="s">
        <v>9</v>
      </c>
      <c r="E4" s="8" t="s">
        <v>15</v>
      </c>
      <c r="F4" s="9">
        <v>5</v>
      </c>
      <c r="G4" s="9">
        <v>1200</v>
      </c>
      <c r="H4" s="9">
        <f t="shared" si="0"/>
        <v>6000</v>
      </c>
    </row>
    <row r="5" spans="1:8" x14ac:dyDescent="0.3">
      <c r="A5" s="6">
        <v>4</v>
      </c>
      <c r="B5" s="7">
        <v>44200</v>
      </c>
      <c r="C5" s="8" t="s">
        <v>16</v>
      </c>
      <c r="D5" s="8" t="s">
        <v>12</v>
      </c>
      <c r="E5" s="8" t="s">
        <v>17</v>
      </c>
      <c r="F5" s="9">
        <v>4</v>
      </c>
      <c r="G5" s="9">
        <v>1500</v>
      </c>
      <c r="H5" s="9">
        <f t="shared" si="0"/>
        <v>6000</v>
      </c>
    </row>
    <row r="6" spans="1:8" x14ac:dyDescent="0.3">
      <c r="A6" s="6">
        <v>5</v>
      </c>
      <c r="B6" s="7">
        <v>44201</v>
      </c>
      <c r="C6" s="8" t="s">
        <v>18</v>
      </c>
      <c r="D6" s="8" t="s">
        <v>9</v>
      </c>
      <c r="E6" s="8" t="s">
        <v>19</v>
      </c>
      <c r="F6" s="9">
        <v>3</v>
      </c>
      <c r="G6" s="9">
        <v>300</v>
      </c>
      <c r="H6" s="9">
        <f t="shared" si="0"/>
        <v>900</v>
      </c>
    </row>
    <row r="7" spans="1:8" x14ac:dyDescent="0.3">
      <c r="A7" s="6">
        <v>6</v>
      </c>
      <c r="B7" s="7">
        <v>44202</v>
      </c>
      <c r="C7" s="8" t="s">
        <v>20</v>
      </c>
      <c r="D7" s="8" t="s">
        <v>9</v>
      </c>
      <c r="E7" s="8" t="s">
        <v>21</v>
      </c>
      <c r="F7" s="9">
        <v>2</v>
      </c>
      <c r="G7" s="9">
        <v>190</v>
      </c>
      <c r="H7" s="9">
        <f t="shared" si="0"/>
        <v>380</v>
      </c>
    </row>
    <row r="8" spans="1:8" x14ac:dyDescent="0.3">
      <c r="A8" s="6">
        <v>7</v>
      </c>
      <c r="B8" s="7">
        <v>44203</v>
      </c>
      <c r="C8" s="8" t="s">
        <v>8</v>
      </c>
      <c r="D8" s="8" t="s">
        <v>9</v>
      </c>
      <c r="E8" s="8" t="s">
        <v>10</v>
      </c>
      <c r="F8" s="9">
        <v>7</v>
      </c>
      <c r="G8" s="9">
        <v>210</v>
      </c>
      <c r="H8" s="9">
        <f t="shared" si="0"/>
        <v>1470</v>
      </c>
    </row>
    <row r="9" spans="1:8" x14ac:dyDescent="0.3">
      <c r="A9" s="6">
        <v>8</v>
      </c>
      <c r="B9" s="7">
        <v>44204</v>
      </c>
      <c r="C9" s="8" t="s">
        <v>11</v>
      </c>
      <c r="D9" s="8" t="s">
        <v>12</v>
      </c>
      <c r="E9" s="8" t="s">
        <v>13</v>
      </c>
      <c r="F9" s="9">
        <v>6</v>
      </c>
      <c r="G9" s="9">
        <v>2100</v>
      </c>
      <c r="H9" s="9">
        <f t="shared" si="0"/>
        <v>12600</v>
      </c>
    </row>
    <row r="10" spans="1:8" x14ac:dyDescent="0.3">
      <c r="A10" s="6">
        <v>9</v>
      </c>
      <c r="B10" s="7">
        <v>44205</v>
      </c>
      <c r="C10" s="8" t="s">
        <v>14</v>
      </c>
      <c r="D10" s="8" t="s">
        <v>12</v>
      </c>
      <c r="E10" s="8" t="s">
        <v>15</v>
      </c>
      <c r="F10" s="9">
        <v>5</v>
      </c>
      <c r="G10" s="9">
        <v>1200</v>
      </c>
      <c r="H10" s="9">
        <f t="shared" si="0"/>
        <v>6000</v>
      </c>
    </row>
    <row r="11" spans="1:8" x14ac:dyDescent="0.3">
      <c r="A11" s="6">
        <v>10</v>
      </c>
      <c r="B11" s="7">
        <v>44206</v>
      </c>
      <c r="C11" s="8" t="s">
        <v>16</v>
      </c>
      <c r="D11" s="8" t="s">
        <v>9</v>
      </c>
      <c r="E11" s="8" t="s">
        <v>17</v>
      </c>
      <c r="F11" s="9">
        <v>4</v>
      </c>
      <c r="G11" s="9">
        <v>1500</v>
      </c>
      <c r="H11" s="9">
        <f t="shared" si="0"/>
        <v>6000</v>
      </c>
    </row>
    <row r="12" spans="1:8" x14ac:dyDescent="0.3">
      <c r="A12" s="6">
        <v>11</v>
      </c>
      <c r="B12" s="7">
        <v>44207</v>
      </c>
      <c r="C12" s="8" t="s">
        <v>18</v>
      </c>
      <c r="D12" s="8" t="s">
        <v>9</v>
      </c>
      <c r="E12" s="8" t="s">
        <v>19</v>
      </c>
      <c r="F12" s="9">
        <v>3</v>
      </c>
      <c r="G12" s="9">
        <v>300</v>
      </c>
      <c r="H12" s="9">
        <f t="shared" si="0"/>
        <v>900</v>
      </c>
    </row>
    <row r="13" spans="1:8" x14ac:dyDescent="0.3">
      <c r="A13" s="6">
        <v>12</v>
      </c>
      <c r="B13" s="7">
        <v>44208</v>
      </c>
      <c r="C13" s="8" t="s">
        <v>20</v>
      </c>
      <c r="D13" s="8" t="s">
        <v>12</v>
      </c>
      <c r="E13" s="8" t="s">
        <v>21</v>
      </c>
      <c r="F13" s="9">
        <v>2</v>
      </c>
      <c r="G13" s="9">
        <v>190</v>
      </c>
      <c r="H13" s="9">
        <f t="shared" si="0"/>
        <v>380</v>
      </c>
    </row>
    <row r="14" spans="1:8" x14ac:dyDescent="0.3">
      <c r="A14" s="6">
        <v>13</v>
      </c>
      <c r="B14" s="7">
        <v>44209</v>
      </c>
      <c r="C14" s="8" t="s">
        <v>20</v>
      </c>
      <c r="D14" s="8" t="s">
        <v>9</v>
      </c>
      <c r="E14" s="8" t="s">
        <v>10</v>
      </c>
      <c r="F14" s="9">
        <v>2</v>
      </c>
      <c r="G14" s="9">
        <v>210</v>
      </c>
      <c r="H14" s="9">
        <f t="shared" si="0"/>
        <v>420</v>
      </c>
    </row>
    <row r="15" spans="1:8" x14ac:dyDescent="0.3">
      <c r="A15" s="6">
        <v>14</v>
      </c>
      <c r="B15" s="7">
        <v>44210</v>
      </c>
      <c r="C15" s="8" t="s">
        <v>8</v>
      </c>
      <c r="D15" s="8" t="s">
        <v>9</v>
      </c>
      <c r="E15" s="8" t="s">
        <v>13</v>
      </c>
      <c r="F15" s="9">
        <v>7</v>
      </c>
      <c r="G15" s="9">
        <v>2100</v>
      </c>
      <c r="H15" s="9">
        <f t="shared" si="0"/>
        <v>14700</v>
      </c>
    </row>
    <row r="16" spans="1:8" x14ac:dyDescent="0.3">
      <c r="A16" s="6">
        <v>15</v>
      </c>
      <c r="B16" s="7">
        <v>44211</v>
      </c>
      <c r="C16" s="8" t="s">
        <v>11</v>
      </c>
      <c r="D16" s="8" t="s">
        <v>9</v>
      </c>
      <c r="E16" s="8" t="s">
        <v>15</v>
      </c>
      <c r="F16" s="9">
        <v>6</v>
      </c>
      <c r="G16" s="9">
        <v>1200</v>
      </c>
      <c r="H16" s="9">
        <f t="shared" si="0"/>
        <v>7200</v>
      </c>
    </row>
    <row r="17" spans="1:8" x14ac:dyDescent="0.3">
      <c r="A17" s="6">
        <v>16</v>
      </c>
      <c r="B17" s="7">
        <v>44212</v>
      </c>
      <c r="C17" s="8" t="s">
        <v>14</v>
      </c>
      <c r="D17" s="8" t="s">
        <v>9</v>
      </c>
      <c r="E17" s="8" t="s">
        <v>17</v>
      </c>
      <c r="F17" s="9">
        <v>5</v>
      </c>
      <c r="G17" s="9">
        <v>1500</v>
      </c>
      <c r="H17" s="9">
        <f t="shared" si="0"/>
        <v>7500</v>
      </c>
    </row>
    <row r="18" spans="1:8" x14ac:dyDescent="0.3">
      <c r="A18" s="6">
        <v>17</v>
      </c>
      <c r="B18" s="7">
        <v>44213</v>
      </c>
      <c r="C18" s="8" t="s">
        <v>16</v>
      </c>
      <c r="D18" s="8" t="s">
        <v>9</v>
      </c>
      <c r="E18" s="8" t="s">
        <v>19</v>
      </c>
      <c r="F18" s="9">
        <v>4</v>
      </c>
      <c r="G18" s="9">
        <v>300</v>
      </c>
      <c r="H18" s="9">
        <f t="shared" si="0"/>
        <v>1200</v>
      </c>
    </row>
    <row r="19" spans="1:8" x14ac:dyDescent="0.3">
      <c r="A19" s="6">
        <v>18</v>
      </c>
      <c r="B19" s="7">
        <v>44214</v>
      </c>
      <c r="C19" s="8" t="s">
        <v>18</v>
      </c>
      <c r="D19" s="8" t="s">
        <v>9</v>
      </c>
      <c r="E19" s="8" t="s">
        <v>21</v>
      </c>
      <c r="F19" s="9">
        <v>3</v>
      </c>
      <c r="G19" s="9">
        <v>190</v>
      </c>
      <c r="H19" s="9">
        <f t="shared" si="0"/>
        <v>570</v>
      </c>
    </row>
    <row r="20" spans="1:8" x14ac:dyDescent="0.3">
      <c r="A20" s="6">
        <v>19</v>
      </c>
      <c r="B20" s="7">
        <v>44215</v>
      </c>
      <c r="C20" s="8" t="s">
        <v>20</v>
      </c>
      <c r="D20" s="8" t="s">
        <v>9</v>
      </c>
      <c r="E20" s="8" t="s">
        <v>10</v>
      </c>
      <c r="F20" s="9">
        <v>2</v>
      </c>
      <c r="G20" s="9">
        <v>210</v>
      </c>
      <c r="H20" s="9">
        <f t="shared" si="0"/>
        <v>420</v>
      </c>
    </row>
    <row r="21" spans="1:8" x14ac:dyDescent="0.3">
      <c r="A21" s="6">
        <v>20</v>
      </c>
      <c r="B21" s="7">
        <v>44216</v>
      </c>
      <c r="C21" s="8" t="s">
        <v>8</v>
      </c>
      <c r="D21" s="8" t="s">
        <v>9</v>
      </c>
      <c r="E21" s="8" t="s">
        <v>15</v>
      </c>
      <c r="F21" s="9">
        <v>7</v>
      </c>
      <c r="G21" s="9">
        <v>2100</v>
      </c>
      <c r="H21" s="9">
        <f t="shared" si="0"/>
        <v>14700</v>
      </c>
    </row>
    <row r="22" spans="1:8" x14ac:dyDescent="0.3">
      <c r="A22" s="6">
        <v>21</v>
      </c>
      <c r="B22" s="7">
        <v>44217</v>
      </c>
      <c r="C22" s="8" t="s">
        <v>11</v>
      </c>
      <c r="D22" s="8" t="s">
        <v>12</v>
      </c>
      <c r="E22" s="8" t="s">
        <v>17</v>
      </c>
      <c r="F22" s="9">
        <v>6</v>
      </c>
      <c r="G22" s="9">
        <v>1200</v>
      </c>
      <c r="H22" s="9">
        <f t="shared" si="0"/>
        <v>7200</v>
      </c>
    </row>
    <row r="23" spans="1:8" x14ac:dyDescent="0.3">
      <c r="A23" s="6">
        <v>22</v>
      </c>
      <c r="B23" s="7">
        <v>44218</v>
      </c>
      <c r="C23" s="8" t="s">
        <v>14</v>
      </c>
      <c r="D23" s="8" t="s">
        <v>9</v>
      </c>
      <c r="E23" s="8" t="s">
        <v>19</v>
      </c>
      <c r="F23" s="9">
        <v>5</v>
      </c>
      <c r="G23" s="9">
        <v>300</v>
      </c>
      <c r="H23" s="9">
        <f t="shared" si="0"/>
        <v>1500</v>
      </c>
    </row>
    <row r="24" spans="1:8" x14ac:dyDescent="0.3">
      <c r="A24" s="6">
        <v>23</v>
      </c>
      <c r="B24" s="7">
        <v>44219</v>
      </c>
      <c r="C24" s="8" t="s">
        <v>16</v>
      </c>
      <c r="D24" s="8" t="s">
        <v>12</v>
      </c>
      <c r="E24" s="8" t="s">
        <v>21</v>
      </c>
      <c r="F24" s="9">
        <v>4</v>
      </c>
      <c r="G24" s="9">
        <v>200</v>
      </c>
      <c r="H24" s="9">
        <f t="shared" si="0"/>
        <v>800</v>
      </c>
    </row>
    <row r="25" spans="1:8" x14ac:dyDescent="0.3">
      <c r="A25" s="6">
        <v>24</v>
      </c>
      <c r="B25" s="7">
        <v>44220</v>
      </c>
      <c r="C25" s="8" t="s">
        <v>18</v>
      </c>
      <c r="D25" s="8" t="s">
        <v>9</v>
      </c>
      <c r="E25" s="8" t="s">
        <v>10</v>
      </c>
      <c r="F25" s="9">
        <v>3</v>
      </c>
      <c r="G25" s="9">
        <v>190</v>
      </c>
      <c r="H25" s="9">
        <f t="shared" si="0"/>
        <v>570</v>
      </c>
    </row>
    <row r="26" spans="1:8" x14ac:dyDescent="0.3">
      <c r="A26" s="6">
        <v>25</v>
      </c>
      <c r="B26" s="7">
        <v>44221</v>
      </c>
      <c r="C26" s="8" t="s">
        <v>20</v>
      </c>
      <c r="D26" s="8" t="s">
        <v>9</v>
      </c>
      <c r="E26" s="8" t="s">
        <v>13</v>
      </c>
      <c r="F26" s="9">
        <v>2</v>
      </c>
      <c r="G26" s="9">
        <v>2100</v>
      </c>
      <c r="H26" s="9">
        <f t="shared" si="0"/>
        <v>4200</v>
      </c>
    </row>
    <row r="27" spans="1:8" x14ac:dyDescent="0.3">
      <c r="A27" s="6">
        <v>26</v>
      </c>
      <c r="B27" s="7">
        <v>44222</v>
      </c>
      <c r="C27" s="8" t="s">
        <v>20</v>
      </c>
      <c r="D27" s="8" t="s">
        <v>9</v>
      </c>
      <c r="E27" s="8" t="s">
        <v>10</v>
      </c>
      <c r="F27" s="9">
        <v>7</v>
      </c>
      <c r="G27" s="9">
        <v>210</v>
      </c>
      <c r="H27" s="9">
        <f t="shared" si="0"/>
        <v>1470</v>
      </c>
    </row>
    <row r="28" spans="1:8" x14ac:dyDescent="0.3">
      <c r="A28" s="6">
        <v>27</v>
      </c>
      <c r="B28" s="7">
        <v>44223</v>
      </c>
      <c r="C28" s="8" t="s">
        <v>8</v>
      </c>
      <c r="D28" s="8" t="s">
        <v>9</v>
      </c>
      <c r="E28" s="8" t="s">
        <v>13</v>
      </c>
      <c r="F28" s="9">
        <v>6</v>
      </c>
      <c r="G28" s="9">
        <v>2100</v>
      </c>
      <c r="H28" s="9">
        <f t="shared" si="0"/>
        <v>12600</v>
      </c>
    </row>
    <row r="29" spans="1:8" x14ac:dyDescent="0.3">
      <c r="A29" s="6">
        <v>28</v>
      </c>
      <c r="B29" s="7">
        <v>44224</v>
      </c>
      <c r="C29" s="8" t="s">
        <v>8</v>
      </c>
      <c r="D29" s="8" t="s">
        <v>12</v>
      </c>
      <c r="E29" s="8" t="s">
        <v>10</v>
      </c>
      <c r="F29" s="9">
        <v>7</v>
      </c>
      <c r="G29" s="9">
        <v>210</v>
      </c>
      <c r="H29" s="9">
        <f t="shared" si="0"/>
        <v>1470</v>
      </c>
    </row>
    <row r="30" spans="1:8" x14ac:dyDescent="0.3">
      <c r="A30" s="6">
        <v>29</v>
      </c>
      <c r="B30" s="7">
        <v>44225</v>
      </c>
      <c r="C30" s="8" t="s">
        <v>8</v>
      </c>
      <c r="D30" s="8" t="s">
        <v>22</v>
      </c>
      <c r="E30" s="8" t="s">
        <v>10</v>
      </c>
      <c r="F30" s="9">
        <v>7</v>
      </c>
      <c r="G30" s="9">
        <v>210</v>
      </c>
      <c r="H30" s="9">
        <f t="shared" si="0"/>
        <v>1470</v>
      </c>
    </row>
    <row r="31" spans="1:8" x14ac:dyDescent="0.3">
      <c r="A31" s="6">
        <v>30</v>
      </c>
      <c r="B31" s="7">
        <v>44226</v>
      </c>
      <c r="C31" s="8" t="s">
        <v>8</v>
      </c>
      <c r="D31" s="8" t="s">
        <v>23</v>
      </c>
      <c r="E31" s="8" t="s">
        <v>10</v>
      </c>
      <c r="F31" s="9">
        <v>7</v>
      </c>
      <c r="G31" s="9">
        <v>210</v>
      </c>
      <c r="H31" s="9">
        <f t="shared" si="0"/>
        <v>1470</v>
      </c>
    </row>
    <row r="32" spans="1:8" x14ac:dyDescent="0.3">
      <c r="A32" s="6">
        <v>31</v>
      </c>
      <c r="B32" s="7">
        <v>44227</v>
      </c>
      <c r="C32" s="8" t="s">
        <v>8</v>
      </c>
      <c r="D32" s="8" t="s">
        <v>9</v>
      </c>
      <c r="E32" s="8" t="s">
        <v>10</v>
      </c>
      <c r="F32" s="9">
        <v>7</v>
      </c>
      <c r="G32" s="9">
        <v>210</v>
      </c>
      <c r="H32" s="9">
        <f t="shared" si="0"/>
        <v>1470</v>
      </c>
    </row>
    <row r="33" spans="1:8" x14ac:dyDescent="0.3">
      <c r="A33" s="6">
        <v>32</v>
      </c>
      <c r="B33" s="7">
        <v>44228</v>
      </c>
      <c r="C33" s="8" t="s">
        <v>8</v>
      </c>
      <c r="D33" s="8" t="s">
        <v>12</v>
      </c>
      <c r="E33" s="8" t="s">
        <v>10</v>
      </c>
      <c r="F33" s="9">
        <v>7</v>
      </c>
      <c r="G33" s="9">
        <v>210</v>
      </c>
      <c r="H33" s="9">
        <f t="shared" si="0"/>
        <v>1470</v>
      </c>
    </row>
    <row r="34" spans="1:8" x14ac:dyDescent="0.3">
      <c r="A34" s="6">
        <v>33</v>
      </c>
      <c r="B34" s="7">
        <v>44229</v>
      </c>
      <c r="C34" s="8" t="s">
        <v>8</v>
      </c>
      <c r="D34" s="8" t="s">
        <v>22</v>
      </c>
      <c r="E34" s="8" t="s">
        <v>10</v>
      </c>
      <c r="F34" s="9">
        <v>7</v>
      </c>
      <c r="G34" s="9">
        <v>210</v>
      </c>
      <c r="H34" s="9">
        <f t="shared" si="0"/>
        <v>1470</v>
      </c>
    </row>
    <row r="35" spans="1:8" x14ac:dyDescent="0.3">
      <c r="A35" s="6">
        <v>34</v>
      </c>
      <c r="B35" s="7">
        <v>44230</v>
      </c>
      <c r="C35" s="8" t="s">
        <v>8</v>
      </c>
      <c r="D35" s="8" t="s">
        <v>23</v>
      </c>
      <c r="E35" s="8" t="s">
        <v>10</v>
      </c>
      <c r="F35" s="9">
        <v>7</v>
      </c>
      <c r="G35" s="9">
        <v>210</v>
      </c>
      <c r="H35" s="9">
        <f t="shared" si="0"/>
        <v>1470</v>
      </c>
    </row>
    <row r="36" spans="1:8" x14ac:dyDescent="0.3">
      <c r="A36" s="6">
        <v>35</v>
      </c>
      <c r="B36" s="7">
        <v>44231</v>
      </c>
      <c r="C36" s="8" t="s">
        <v>11</v>
      </c>
      <c r="D36" s="8" t="s">
        <v>12</v>
      </c>
      <c r="E36" s="8" t="s">
        <v>10</v>
      </c>
      <c r="F36" s="9">
        <v>7</v>
      </c>
      <c r="G36" s="9">
        <v>210</v>
      </c>
      <c r="H36" s="9">
        <f t="shared" si="0"/>
        <v>1470</v>
      </c>
    </row>
    <row r="37" spans="1:8" x14ac:dyDescent="0.3">
      <c r="A37" s="6">
        <v>36</v>
      </c>
      <c r="B37" s="7">
        <v>44232</v>
      </c>
      <c r="C37" s="8" t="s">
        <v>11</v>
      </c>
      <c r="D37" s="8" t="s">
        <v>9</v>
      </c>
      <c r="E37" s="8" t="s">
        <v>10</v>
      </c>
      <c r="F37" s="9">
        <v>7</v>
      </c>
      <c r="G37" s="9">
        <v>210</v>
      </c>
      <c r="H37" s="9">
        <f t="shared" si="0"/>
        <v>1470</v>
      </c>
    </row>
    <row r="38" spans="1:8" x14ac:dyDescent="0.3">
      <c r="A38" s="6">
        <v>37</v>
      </c>
      <c r="B38" s="7">
        <v>44233</v>
      </c>
      <c r="C38" s="8" t="s">
        <v>11</v>
      </c>
      <c r="D38" s="8" t="s">
        <v>22</v>
      </c>
      <c r="E38" s="8" t="s">
        <v>21</v>
      </c>
      <c r="F38" s="9">
        <v>2</v>
      </c>
      <c r="G38" s="9">
        <v>190</v>
      </c>
      <c r="H38" s="9">
        <f t="shared" si="0"/>
        <v>380</v>
      </c>
    </row>
    <row r="39" spans="1:8" x14ac:dyDescent="0.3">
      <c r="A39" s="6">
        <v>38</v>
      </c>
      <c r="B39" s="7">
        <v>44234</v>
      </c>
      <c r="C39" s="8" t="s">
        <v>11</v>
      </c>
      <c r="D39" s="8" t="s">
        <v>23</v>
      </c>
      <c r="E39" s="8" t="s">
        <v>10</v>
      </c>
      <c r="F39" s="9">
        <v>2</v>
      </c>
      <c r="G39" s="9">
        <v>210</v>
      </c>
      <c r="H39" s="9">
        <f t="shared" si="0"/>
        <v>420</v>
      </c>
    </row>
    <row r="40" spans="1:8" x14ac:dyDescent="0.3">
      <c r="A40" s="6">
        <v>39</v>
      </c>
      <c r="B40" s="7">
        <v>44235</v>
      </c>
      <c r="C40" s="8" t="s">
        <v>11</v>
      </c>
      <c r="D40" s="8" t="s">
        <v>12</v>
      </c>
      <c r="E40" s="8" t="s">
        <v>13</v>
      </c>
      <c r="F40" s="9">
        <v>7</v>
      </c>
      <c r="G40" s="9">
        <v>2100</v>
      </c>
      <c r="H40" s="9">
        <f t="shared" si="0"/>
        <v>14700</v>
      </c>
    </row>
    <row r="41" spans="1:8" x14ac:dyDescent="0.3">
      <c r="A41" s="6">
        <v>40</v>
      </c>
      <c r="B41" s="7">
        <v>44236</v>
      </c>
      <c r="C41" s="8" t="s">
        <v>11</v>
      </c>
      <c r="D41" s="8" t="s">
        <v>9</v>
      </c>
      <c r="E41" s="8" t="s">
        <v>15</v>
      </c>
      <c r="F41" s="9">
        <v>6</v>
      </c>
      <c r="G41" s="9">
        <v>1200</v>
      </c>
      <c r="H41" s="9">
        <f t="shared" si="0"/>
        <v>7200</v>
      </c>
    </row>
    <row r="42" spans="1:8" x14ac:dyDescent="0.3">
      <c r="A42" s="6">
        <v>41</v>
      </c>
      <c r="B42" s="7">
        <v>44237</v>
      </c>
      <c r="C42" s="8" t="s">
        <v>11</v>
      </c>
      <c r="D42" s="8" t="s">
        <v>22</v>
      </c>
      <c r="E42" s="8" t="s">
        <v>13</v>
      </c>
      <c r="F42" s="9">
        <v>7</v>
      </c>
      <c r="G42" s="9">
        <v>2100</v>
      </c>
      <c r="H42" s="9">
        <f t="shared" si="0"/>
        <v>14700</v>
      </c>
    </row>
    <row r="43" spans="1:8" x14ac:dyDescent="0.3">
      <c r="A43" s="6">
        <v>42</v>
      </c>
      <c r="B43" s="7">
        <v>44238</v>
      </c>
      <c r="C43" s="8" t="s">
        <v>11</v>
      </c>
      <c r="D43" s="8" t="s">
        <v>23</v>
      </c>
      <c r="E43" s="8" t="s">
        <v>13</v>
      </c>
      <c r="F43" s="9">
        <v>7</v>
      </c>
      <c r="G43" s="9">
        <v>2100</v>
      </c>
      <c r="H43" s="9">
        <f t="shared" si="0"/>
        <v>14700</v>
      </c>
    </row>
    <row r="44" spans="1:8" x14ac:dyDescent="0.3">
      <c r="A44" s="6">
        <v>43</v>
      </c>
      <c r="B44" s="7">
        <v>44239</v>
      </c>
      <c r="C44" s="8" t="s">
        <v>14</v>
      </c>
      <c r="D44" s="8" t="s">
        <v>23</v>
      </c>
      <c r="E44" s="8" t="s">
        <v>13</v>
      </c>
      <c r="F44" s="9">
        <v>7</v>
      </c>
      <c r="G44" s="9">
        <v>2100</v>
      </c>
      <c r="H44" s="9">
        <f t="shared" si="0"/>
        <v>14700</v>
      </c>
    </row>
    <row r="45" spans="1:8" x14ac:dyDescent="0.3">
      <c r="A45" s="6">
        <v>44</v>
      </c>
      <c r="B45" s="7">
        <v>44240</v>
      </c>
      <c r="C45" s="8" t="s">
        <v>16</v>
      </c>
      <c r="D45" s="8" t="s">
        <v>23</v>
      </c>
      <c r="E45" s="8" t="s">
        <v>13</v>
      </c>
      <c r="F45" s="9">
        <v>7</v>
      </c>
      <c r="G45" s="9">
        <v>2100</v>
      </c>
      <c r="H45" s="9">
        <f t="shared" si="0"/>
        <v>14700</v>
      </c>
    </row>
    <row r="46" spans="1:8" x14ac:dyDescent="0.3">
      <c r="A46" s="6">
        <v>45</v>
      </c>
      <c r="B46" s="7">
        <v>44241</v>
      </c>
      <c r="C46" s="8" t="s">
        <v>18</v>
      </c>
      <c r="D46" s="8" t="s">
        <v>23</v>
      </c>
      <c r="E46" s="8" t="s">
        <v>13</v>
      </c>
      <c r="F46" s="9">
        <v>7</v>
      </c>
      <c r="G46" s="9">
        <v>2100</v>
      </c>
      <c r="H46" s="9">
        <f t="shared" si="0"/>
        <v>14700</v>
      </c>
    </row>
    <row r="47" spans="1:8" x14ac:dyDescent="0.3">
      <c r="A47" s="6">
        <v>46</v>
      </c>
      <c r="B47" s="7">
        <v>44242</v>
      </c>
      <c r="C47" s="8" t="s">
        <v>20</v>
      </c>
      <c r="D47" s="8" t="s">
        <v>23</v>
      </c>
      <c r="E47" s="8" t="s">
        <v>13</v>
      </c>
      <c r="F47" s="9">
        <v>7</v>
      </c>
      <c r="G47" s="9">
        <v>2100</v>
      </c>
      <c r="H47" s="9">
        <f t="shared" si="0"/>
        <v>14700</v>
      </c>
    </row>
    <row r="48" spans="1:8" x14ac:dyDescent="0.3">
      <c r="A48" s="6">
        <v>47</v>
      </c>
      <c r="B48" s="7">
        <v>44243</v>
      </c>
      <c r="C48" s="8" t="s">
        <v>20</v>
      </c>
      <c r="D48" s="8" t="s">
        <v>9</v>
      </c>
      <c r="E48" s="8" t="s">
        <v>13</v>
      </c>
      <c r="F48" s="9">
        <v>7</v>
      </c>
      <c r="G48" s="9">
        <v>2100</v>
      </c>
      <c r="H48" s="9">
        <f t="shared" si="0"/>
        <v>14700</v>
      </c>
    </row>
    <row r="49" spans="1:8" x14ac:dyDescent="0.3">
      <c r="A49" s="6">
        <v>48</v>
      </c>
      <c r="B49" s="7">
        <v>44244</v>
      </c>
      <c r="C49" s="8" t="s">
        <v>20</v>
      </c>
      <c r="D49" s="8" t="s">
        <v>12</v>
      </c>
      <c r="E49" s="8" t="s">
        <v>13</v>
      </c>
      <c r="F49" s="9">
        <v>7</v>
      </c>
      <c r="G49" s="9">
        <v>2100</v>
      </c>
      <c r="H49" s="9">
        <f t="shared" si="0"/>
        <v>14700</v>
      </c>
    </row>
    <row r="50" spans="1:8" x14ac:dyDescent="0.3">
      <c r="A50" s="6">
        <v>49</v>
      </c>
      <c r="B50" s="7">
        <v>44245</v>
      </c>
      <c r="C50" s="8" t="s">
        <v>20</v>
      </c>
      <c r="D50" s="8" t="s">
        <v>22</v>
      </c>
      <c r="E50" s="8" t="s">
        <v>13</v>
      </c>
      <c r="F50" s="9">
        <v>7</v>
      </c>
      <c r="G50" s="9">
        <v>2100</v>
      </c>
      <c r="H50" s="9">
        <f t="shared" si="0"/>
        <v>14700</v>
      </c>
    </row>
    <row r="51" spans="1:8" x14ac:dyDescent="0.3">
      <c r="A51" s="6">
        <v>50</v>
      </c>
      <c r="B51" s="7">
        <v>44246</v>
      </c>
      <c r="C51" s="8" t="s">
        <v>20</v>
      </c>
      <c r="D51" s="8" t="s">
        <v>23</v>
      </c>
      <c r="E51" s="8" t="s">
        <v>13</v>
      </c>
      <c r="F51" s="9">
        <v>7</v>
      </c>
      <c r="G51" s="9">
        <v>2100</v>
      </c>
      <c r="H51" s="9">
        <f t="shared" si="0"/>
        <v>14700</v>
      </c>
    </row>
    <row r="52" spans="1:8" x14ac:dyDescent="0.3">
      <c r="A52" s="6">
        <v>51</v>
      </c>
      <c r="B52" s="7">
        <v>44247</v>
      </c>
      <c r="C52" s="8" t="s">
        <v>20</v>
      </c>
      <c r="D52" s="8" t="s">
        <v>9</v>
      </c>
      <c r="E52" s="8" t="s">
        <v>10</v>
      </c>
      <c r="F52" s="9">
        <v>7</v>
      </c>
      <c r="G52" s="9">
        <v>210</v>
      </c>
      <c r="H52" s="9">
        <f t="shared" si="0"/>
        <v>1470</v>
      </c>
    </row>
    <row r="53" spans="1:8" x14ac:dyDescent="0.3">
      <c r="A53" s="6">
        <v>52</v>
      </c>
      <c r="B53" s="7">
        <v>44248</v>
      </c>
      <c r="C53" s="8" t="s">
        <v>20</v>
      </c>
      <c r="D53" s="8" t="s">
        <v>12</v>
      </c>
      <c r="E53" s="8" t="s">
        <v>13</v>
      </c>
      <c r="F53" s="9">
        <v>6</v>
      </c>
      <c r="G53" s="9">
        <v>2100</v>
      </c>
      <c r="H53" s="9">
        <f t="shared" si="0"/>
        <v>12600</v>
      </c>
    </row>
    <row r="54" spans="1:8" x14ac:dyDescent="0.3">
      <c r="A54" s="6">
        <v>53</v>
      </c>
      <c r="B54" s="7">
        <v>44249</v>
      </c>
      <c r="C54" s="8" t="s">
        <v>20</v>
      </c>
      <c r="D54" s="8" t="s">
        <v>22</v>
      </c>
      <c r="E54" s="8" t="s">
        <v>15</v>
      </c>
      <c r="F54" s="9">
        <v>5</v>
      </c>
      <c r="G54" s="9">
        <v>1200</v>
      </c>
      <c r="H54" s="9">
        <f t="shared" si="0"/>
        <v>6000</v>
      </c>
    </row>
    <row r="55" spans="1:8" x14ac:dyDescent="0.3">
      <c r="A55" s="6">
        <v>54</v>
      </c>
      <c r="B55" s="7">
        <v>44250</v>
      </c>
      <c r="C55" s="8" t="s">
        <v>20</v>
      </c>
      <c r="D55" s="8" t="s">
        <v>23</v>
      </c>
      <c r="E55" s="8" t="s">
        <v>17</v>
      </c>
      <c r="F55" s="9">
        <v>4</v>
      </c>
      <c r="G55" s="9">
        <v>1500</v>
      </c>
      <c r="H55" s="9">
        <f t="shared" si="0"/>
        <v>6000</v>
      </c>
    </row>
    <row r="56" spans="1:8" x14ac:dyDescent="0.3">
      <c r="A56" s="6">
        <v>55</v>
      </c>
      <c r="B56" s="7">
        <v>44251</v>
      </c>
      <c r="C56" s="8" t="s">
        <v>8</v>
      </c>
      <c r="D56" s="8" t="s">
        <v>9</v>
      </c>
      <c r="E56" s="8" t="s">
        <v>19</v>
      </c>
      <c r="F56" s="9">
        <v>3</v>
      </c>
      <c r="G56" s="9">
        <v>300</v>
      </c>
      <c r="H56" s="9">
        <f t="shared" si="0"/>
        <v>900</v>
      </c>
    </row>
    <row r="57" spans="1:8" x14ac:dyDescent="0.3">
      <c r="A57" s="6">
        <v>56</v>
      </c>
      <c r="B57" s="7">
        <v>44252</v>
      </c>
      <c r="C57" s="8" t="s">
        <v>11</v>
      </c>
      <c r="D57" s="8" t="s">
        <v>12</v>
      </c>
      <c r="E57" s="8" t="s">
        <v>21</v>
      </c>
      <c r="F57" s="9">
        <v>2</v>
      </c>
      <c r="G57" s="9">
        <v>190</v>
      </c>
      <c r="H57" s="9">
        <f t="shared" si="0"/>
        <v>380</v>
      </c>
    </row>
    <row r="58" spans="1:8" x14ac:dyDescent="0.3">
      <c r="A58" s="6">
        <v>57</v>
      </c>
      <c r="B58" s="7">
        <v>44253</v>
      </c>
      <c r="C58" s="8" t="s">
        <v>14</v>
      </c>
      <c r="D58" s="8" t="s">
        <v>9</v>
      </c>
      <c r="E58" s="8" t="s">
        <v>10</v>
      </c>
      <c r="F58" s="9">
        <v>7</v>
      </c>
      <c r="G58" s="9">
        <v>210</v>
      </c>
      <c r="H58" s="9">
        <f t="shared" si="0"/>
        <v>1470</v>
      </c>
    </row>
    <row r="59" spans="1:8" x14ac:dyDescent="0.3">
      <c r="A59" s="6">
        <v>58</v>
      </c>
      <c r="B59" s="7">
        <v>44254</v>
      </c>
      <c r="C59" s="8" t="s">
        <v>16</v>
      </c>
      <c r="D59" s="8" t="s">
        <v>12</v>
      </c>
      <c r="E59" s="8" t="s">
        <v>13</v>
      </c>
      <c r="F59" s="9">
        <v>6</v>
      </c>
      <c r="G59" s="9">
        <v>2100</v>
      </c>
      <c r="H59" s="9">
        <f t="shared" si="0"/>
        <v>12600</v>
      </c>
    </row>
    <row r="60" spans="1:8" x14ac:dyDescent="0.3">
      <c r="A60" s="6">
        <v>59</v>
      </c>
      <c r="B60" s="7">
        <v>44255</v>
      </c>
      <c r="C60" s="8" t="s">
        <v>18</v>
      </c>
      <c r="D60" s="8" t="s">
        <v>9</v>
      </c>
      <c r="E60" s="8" t="s">
        <v>15</v>
      </c>
      <c r="F60" s="9">
        <v>5</v>
      </c>
      <c r="G60" s="9">
        <v>1200</v>
      </c>
      <c r="H60" s="9">
        <f t="shared" si="0"/>
        <v>6000</v>
      </c>
    </row>
    <row r="61" spans="1:8" x14ac:dyDescent="0.3">
      <c r="A61" s="6">
        <v>60</v>
      </c>
      <c r="B61" s="7">
        <v>44256</v>
      </c>
      <c r="C61" s="8" t="s">
        <v>20</v>
      </c>
      <c r="D61" s="8" t="s">
        <v>9</v>
      </c>
      <c r="E61" s="8" t="s">
        <v>17</v>
      </c>
      <c r="F61" s="9">
        <v>4</v>
      </c>
      <c r="G61" s="9">
        <v>1500</v>
      </c>
      <c r="H61" s="9">
        <f t="shared" si="0"/>
        <v>6000</v>
      </c>
    </row>
    <row r="62" spans="1:8" x14ac:dyDescent="0.3">
      <c r="A62" s="6">
        <v>61</v>
      </c>
      <c r="B62" s="7">
        <v>44257</v>
      </c>
      <c r="C62" s="8" t="s">
        <v>8</v>
      </c>
      <c r="D62" s="8" t="s">
        <v>9</v>
      </c>
      <c r="E62" s="8" t="s">
        <v>19</v>
      </c>
      <c r="F62" s="9">
        <v>3</v>
      </c>
      <c r="G62" s="9">
        <v>300</v>
      </c>
      <c r="H62" s="9">
        <f t="shared" si="0"/>
        <v>900</v>
      </c>
    </row>
    <row r="63" spans="1:8" x14ac:dyDescent="0.3">
      <c r="A63" s="6">
        <v>62</v>
      </c>
      <c r="B63" s="7">
        <v>44258</v>
      </c>
      <c r="C63" s="8" t="s">
        <v>11</v>
      </c>
      <c r="D63" s="8" t="s">
        <v>12</v>
      </c>
      <c r="E63" s="8" t="s">
        <v>21</v>
      </c>
      <c r="F63" s="9">
        <v>2</v>
      </c>
      <c r="G63" s="9">
        <v>190</v>
      </c>
      <c r="H63" s="9">
        <f t="shared" si="0"/>
        <v>380</v>
      </c>
    </row>
    <row r="64" spans="1:8" x14ac:dyDescent="0.3">
      <c r="A64" s="6">
        <v>63</v>
      </c>
      <c r="B64" s="7">
        <v>44259</v>
      </c>
      <c r="C64" s="8" t="s">
        <v>14</v>
      </c>
      <c r="D64" s="8" t="s">
        <v>12</v>
      </c>
      <c r="E64" s="8" t="s">
        <v>10</v>
      </c>
      <c r="F64" s="9">
        <v>2</v>
      </c>
      <c r="G64" s="9">
        <v>210</v>
      </c>
      <c r="H64" s="9">
        <f t="shared" si="0"/>
        <v>420</v>
      </c>
    </row>
    <row r="65" spans="1:8" x14ac:dyDescent="0.3">
      <c r="A65" s="6">
        <v>64</v>
      </c>
      <c r="B65" s="7">
        <v>44260</v>
      </c>
      <c r="C65" s="8" t="s">
        <v>16</v>
      </c>
      <c r="D65" s="8" t="s">
        <v>9</v>
      </c>
      <c r="E65" s="8" t="s">
        <v>13</v>
      </c>
      <c r="F65" s="9">
        <v>7</v>
      </c>
      <c r="G65" s="9">
        <v>2100</v>
      </c>
      <c r="H65" s="9">
        <f t="shared" si="0"/>
        <v>14700</v>
      </c>
    </row>
    <row r="66" spans="1:8" x14ac:dyDescent="0.3">
      <c r="A66" s="6">
        <v>65</v>
      </c>
      <c r="B66" s="7">
        <v>44261</v>
      </c>
      <c r="C66" s="8" t="s">
        <v>18</v>
      </c>
      <c r="D66" s="8" t="s">
        <v>9</v>
      </c>
      <c r="E66" s="8" t="s">
        <v>15</v>
      </c>
      <c r="F66" s="9">
        <v>6</v>
      </c>
      <c r="G66" s="9">
        <v>1200</v>
      </c>
      <c r="H66" s="9">
        <f t="shared" si="0"/>
        <v>7200</v>
      </c>
    </row>
    <row r="67" spans="1:8" x14ac:dyDescent="0.3">
      <c r="A67" s="6">
        <v>66</v>
      </c>
      <c r="B67" s="7">
        <v>44262</v>
      </c>
      <c r="C67" s="8" t="s">
        <v>20</v>
      </c>
      <c r="D67" s="8" t="s">
        <v>12</v>
      </c>
      <c r="E67" s="8" t="s">
        <v>17</v>
      </c>
      <c r="F67" s="9">
        <v>5</v>
      </c>
      <c r="G67" s="9">
        <v>1500</v>
      </c>
      <c r="H67" s="9">
        <f t="shared" ref="H67:H130" si="1">F67*G67</f>
        <v>7500</v>
      </c>
    </row>
    <row r="68" spans="1:8" x14ac:dyDescent="0.3">
      <c r="A68" s="6">
        <v>67</v>
      </c>
      <c r="B68" s="7">
        <v>44263</v>
      </c>
      <c r="C68" s="8" t="s">
        <v>20</v>
      </c>
      <c r="D68" s="8" t="s">
        <v>9</v>
      </c>
      <c r="E68" s="8" t="s">
        <v>19</v>
      </c>
      <c r="F68" s="9">
        <v>4</v>
      </c>
      <c r="G68" s="9">
        <v>300</v>
      </c>
      <c r="H68" s="9">
        <f t="shared" si="1"/>
        <v>1200</v>
      </c>
    </row>
    <row r="69" spans="1:8" x14ac:dyDescent="0.3">
      <c r="A69" s="6">
        <v>68</v>
      </c>
      <c r="B69" s="7">
        <v>44264</v>
      </c>
      <c r="C69" s="8" t="s">
        <v>8</v>
      </c>
      <c r="D69" s="8" t="s">
        <v>9</v>
      </c>
      <c r="E69" s="8" t="s">
        <v>21</v>
      </c>
      <c r="F69" s="9">
        <v>3</v>
      </c>
      <c r="G69" s="9">
        <v>190</v>
      </c>
      <c r="H69" s="9">
        <f t="shared" si="1"/>
        <v>570</v>
      </c>
    </row>
    <row r="70" spans="1:8" x14ac:dyDescent="0.3">
      <c r="A70" s="6">
        <v>69</v>
      </c>
      <c r="B70" s="7">
        <v>44265</v>
      </c>
      <c r="C70" s="8" t="s">
        <v>11</v>
      </c>
      <c r="D70" s="8" t="s">
        <v>9</v>
      </c>
      <c r="E70" s="8" t="s">
        <v>10</v>
      </c>
      <c r="F70" s="9">
        <v>2</v>
      </c>
      <c r="G70" s="9">
        <v>210</v>
      </c>
      <c r="H70" s="9">
        <f t="shared" si="1"/>
        <v>420</v>
      </c>
    </row>
    <row r="71" spans="1:8" x14ac:dyDescent="0.3">
      <c r="A71" s="6">
        <v>70</v>
      </c>
      <c r="B71" s="7">
        <v>44266</v>
      </c>
      <c r="C71" s="8" t="s">
        <v>14</v>
      </c>
      <c r="D71" s="8" t="s">
        <v>9</v>
      </c>
      <c r="E71" s="8" t="s">
        <v>21</v>
      </c>
      <c r="F71" s="9">
        <v>3</v>
      </c>
      <c r="G71" s="9">
        <v>190</v>
      </c>
      <c r="H71" s="9">
        <f t="shared" si="1"/>
        <v>570</v>
      </c>
    </row>
    <row r="72" spans="1:8" x14ac:dyDescent="0.3">
      <c r="A72" s="6">
        <v>71</v>
      </c>
      <c r="B72" s="7">
        <v>44267</v>
      </c>
      <c r="C72" s="8" t="s">
        <v>16</v>
      </c>
      <c r="D72" s="8" t="s">
        <v>9</v>
      </c>
      <c r="E72" s="8" t="s">
        <v>10</v>
      </c>
      <c r="F72" s="9">
        <v>2</v>
      </c>
      <c r="G72" s="9">
        <v>210</v>
      </c>
      <c r="H72" s="9">
        <f t="shared" si="1"/>
        <v>420</v>
      </c>
    </row>
    <row r="73" spans="1:8" x14ac:dyDescent="0.3">
      <c r="A73" s="6">
        <v>72</v>
      </c>
      <c r="B73" s="7">
        <v>44268</v>
      </c>
      <c r="C73" s="8" t="s">
        <v>18</v>
      </c>
      <c r="D73" s="8" t="s">
        <v>9</v>
      </c>
      <c r="E73" s="8" t="s">
        <v>21</v>
      </c>
      <c r="F73" s="9">
        <v>3</v>
      </c>
      <c r="G73" s="9">
        <v>190</v>
      </c>
      <c r="H73" s="9">
        <f t="shared" si="1"/>
        <v>570</v>
      </c>
    </row>
    <row r="74" spans="1:8" x14ac:dyDescent="0.3">
      <c r="A74" s="6">
        <v>73</v>
      </c>
      <c r="B74" s="7">
        <v>44269</v>
      </c>
      <c r="C74" s="8" t="s">
        <v>20</v>
      </c>
      <c r="D74" s="8" t="s">
        <v>9</v>
      </c>
      <c r="E74" s="8" t="s">
        <v>10</v>
      </c>
      <c r="F74" s="9">
        <v>2</v>
      </c>
      <c r="G74" s="9">
        <v>210</v>
      </c>
      <c r="H74" s="9">
        <f t="shared" si="1"/>
        <v>420</v>
      </c>
    </row>
    <row r="75" spans="1:8" x14ac:dyDescent="0.3">
      <c r="A75" s="6">
        <v>74</v>
      </c>
      <c r="B75" s="7">
        <v>44270</v>
      </c>
      <c r="C75" s="8" t="s">
        <v>8</v>
      </c>
      <c r="D75" s="8" t="s">
        <v>9</v>
      </c>
      <c r="E75" s="8" t="s">
        <v>21</v>
      </c>
      <c r="F75" s="9">
        <v>3</v>
      </c>
      <c r="G75" s="9">
        <v>190</v>
      </c>
      <c r="H75" s="9">
        <f t="shared" si="1"/>
        <v>570</v>
      </c>
    </row>
    <row r="76" spans="1:8" x14ac:dyDescent="0.3">
      <c r="A76" s="6">
        <v>75</v>
      </c>
      <c r="B76" s="7">
        <v>44271</v>
      </c>
      <c r="C76" s="8" t="s">
        <v>11</v>
      </c>
      <c r="D76" s="8" t="s">
        <v>12</v>
      </c>
      <c r="E76" s="8" t="s">
        <v>10</v>
      </c>
      <c r="F76" s="9">
        <v>2</v>
      </c>
      <c r="G76" s="9">
        <v>210</v>
      </c>
      <c r="H76" s="9">
        <f t="shared" si="1"/>
        <v>420</v>
      </c>
    </row>
    <row r="77" spans="1:8" x14ac:dyDescent="0.3">
      <c r="A77" s="6">
        <v>76</v>
      </c>
      <c r="B77" s="7">
        <v>44272</v>
      </c>
      <c r="C77" s="8" t="s">
        <v>14</v>
      </c>
      <c r="D77" s="8" t="s">
        <v>9</v>
      </c>
      <c r="E77" s="8" t="s">
        <v>21</v>
      </c>
      <c r="F77" s="9">
        <v>3</v>
      </c>
      <c r="G77" s="9">
        <v>190</v>
      </c>
      <c r="H77" s="9">
        <f t="shared" si="1"/>
        <v>570</v>
      </c>
    </row>
    <row r="78" spans="1:8" x14ac:dyDescent="0.3">
      <c r="A78" s="6">
        <v>77</v>
      </c>
      <c r="B78" s="7">
        <v>44273</v>
      </c>
      <c r="C78" s="8" t="s">
        <v>16</v>
      </c>
      <c r="D78" s="8" t="s">
        <v>12</v>
      </c>
      <c r="E78" s="8" t="s">
        <v>10</v>
      </c>
      <c r="F78" s="9">
        <v>2</v>
      </c>
      <c r="G78" s="9">
        <v>210</v>
      </c>
      <c r="H78" s="9">
        <f t="shared" si="1"/>
        <v>420</v>
      </c>
    </row>
    <row r="79" spans="1:8" x14ac:dyDescent="0.3">
      <c r="A79" s="6">
        <v>78</v>
      </c>
      <c r="B79" s="7">
        <v>44274</v>
      </c>
      <c r="C79" s="8" t="s">
        <v>18</v>
      </c>
      <c r="D79" s="8" t="s">
        <v>9</v>
      </c>
      <c r="E79" s="8" t="s">
        <v>15</v>
      </c>
      <c r="F79" s="9">
        <v>5</v>
      </c>
      <c r="G79" s="9">
        <v>1200</v>
      </c>
      <c r="H79" s="9">
        <f t="shared" si="1"/>
        <v>6000</v>
      </c>
    </row>
    <row r="80" spans="1:8" x14ac:dyDescent="0.3">
      <c r="A80" s="6">
        <v>79</v>
      </c>
      <c r="B80" s="7">
        <v>44275</v>
      </c>
      <c r="C80" s="8" t="s">
        <v>20</v>
      </c>
      <c r="D80" s="8" t="s">
        <v>9</v>
      </c>
      <c r="E80" s="8" t="s">
        <v>17</v>
      </c>
      <c r="F80" s="9">
        <v>4</v>
      </c>
      <c r="G80" s="9">
        <v>1500</v>
      </c>
      <c r="H80" s="9">
        <f t="shared" si="1"/>
        <v>6000</v>
      </c>
    </row>
    <row r="81" spans="1:8" x14ac:dyDescent="0.3">
      <c r="A81" s="6">
        <v>80</v>
      </c>
      <c r="B81" s="7">
        <v>44276</v>
      </c>
      <c r="C81" s="8" t="s">
        <v>20</v>
      </c>
      <c r="D81" s="8" t="s">
        <v>9</v>
      </c>
      <c r="E81" s="8" t="s">
        <v>19</v>
      </c>
      <c r="F81" s="9">
        <v>3</v>
      </c>
      <c r="G81" s="9">
        <v>300</v>
      </c>
      <c r="H81" s="9">
        <f t="shared" si="1"/>
        <v>900</v>
      </c>
    </row>
    <row r="82" spans="1:8" x14ac:dyDescent="0.3">
      <c r="A82" s="6">
        <v>81</v>
      </c>
      <c r="B82" s="7">
        <v>44277</v>
      </c>
      <c r="C82" s="8" t="s">
        <v>8</v>
      </c>
      <c r="D82" s="8" t="s">
        <v>9</v>
      </c>
      <c r="E82" s="8" t="s">
        <v>21</v>
      </c>
      <c r="F82" s="9">
        <v>2</v>
      </c>
      <c r="G82" s="9">
        <v>190</v>
      </c>
      <c r="H82" s="9">
        <f t="shared" si="1"/>
        <v>380</v>
      </c>
    </row>
    <row r="83" spans="1:8" x14ac:dyDescent="0.3">
      <c r="A83" s="6">
        <v>82</v>
      </c>
      <c r="B83" s="7">
        <v>44278</v>
      </c>
      <c r="C83" s="8" t="s">
        <v>8</v>
      </c>
      <c r="D83" s="8" t="s">
        <v>12</v>
      </c>
      <c r="E83" s="8" t="s">
        <v>10</v>
      </c>
      <c r="F83" s="9">
        <v>7</v>
      </c>
      <c r="G83" s="9">
        <v>210</v>
      </c>
      <c r="H83" s="9">
        <f t="shared" si="1"/>
        <v>1470</v>
      </c>
    </row>
    <row r="84" spans="1:8" x14ac:dyDescent="0.3">
      <c r="A84" s="6">
        <v>83</v>
      </c>
      <c r="B84" s="7">
        <v>44279</v>
      </c>
      <c r="C84" s="8" t="s">
        <v>8</v>
      </c>
      <c r="D84" s="8" t="s">
        <v>22</v>
      </c>
      <c r="E84" s="8" t="s">
        <v>13</v>
      </c>
      <c r="F84" s="9">
        <v>6</v>
      </c>
      <c r="G84" s="9">
        <v>2100</v>
      </c>
      <c r="H84" s="9">
        <f t="shared" si="1"/>
        <v>12600</v>
      </c>
    </row>
    <row r="85" spans="1:8" x14ac:dyDescent="0.3">
      <c r="A85" s="6">
        <v>84</v>
      </c>
      <c r="B85" s="7">
        <v>44280</v>
      </c>
      <c r="C85" s="8" t="s">
        <v>8</v>
      </c>
      <c r="D85" s="8" t="s">
        <v>23</v>
      </c>
      <c r="E85" s="8" t="s">
        <v>15</v>
      </c>
      <c r="F85" s="9">
        <v>5</v>
      </c>
      <c r="G85" s="9">
        <v>1200</v>
      </c>
      <c r="H85" s="9">
        <f t="shared" si="1"/>
        <v>6000</v>
      </c>
    </row>
    <row r="86" spans="1:8" x14ac:dyDescent="0.3">
      <c r="A86" s="6">
        <v>85</v>
      </c>
      <c r="B86" s="7">
        <v>44281</v>
      </c>
      <c r="C86" s="8" t="s">
        <v>8</v>
      </c>
      <c r="D86" s="8" t="s">
        <v>9</v>
      </c>
      <c r="E86" s="8" t="s">
        <v>17</v>
      </c>
      <c r="F86" s="9">
        <v>4</v>
      </c>
      <c r="G86" s="9">
        <v>1500</v>
      </c>
      <c r="H86" s="9">
        <f t="shared" si="1"/>
        <v>6000</v>
      </c>
    </row>
    <row r="87" spans="1:8" x14ac:dyDescent="0.3">
      <c r="A87" s="6">
        <v>86</v>
      </c>
      <c r="B87" s="7">
        <v>44282</v>
      </c>
      <c r="C87" s="8" t="s">
        <v>8</v>
      </c>
      <c r="D87" s="8" t="s">
        <v>12</v>
      </c>
      <c r="E87" s="8" t="s">
        <v>19</v>
      </c>
      <c r="F87" s="9">
        <v>3</v>
      </c>
      <c r="G87" s="9">
        <v>300</v>
      </c>
      <c r="H87" s="9">
        <f t="shared" si="1"/>
        <v>900</v>
      </c>
    </row>
    <row r="88" spans="1:8" x14ac:dyDescent="0.3">
      <c r="A88" s="6">
        <v>87</v>
      </c>
      <c r="B88" s="7">
        <v>44283</v>
      </c>
      <c r="C88" s="8" t="s">
        <v>8</v>
      </c>
      <c r="D88" s="8" t="s">
        <v>22</v>
      </c>
      <c r="E88" s="8" t="s">
        <v>21</v>
      </c>
      <c r="F88" s="9">
        <v>2</v>
      </c>
      <c r="G88" s="9">
        <v>190</v>
      </c>
      <c r="H88" s="9">
        <f t="shared" si="1"/>
        <v>380</v>
      </c>
    </row>
    <row r="89" spans="1:8" x14ac:dyDescent="0.3">
      <c r="A89" s="6">
        <v>88</v>
      </c>
      <c r="B89" s="7">
        <v>44284</v>
      </c>
      <c r="C89" s="8" t="s">
        <v>8</v>
      </c>
      <c r="D89" s="8" t="s">
        <v>23</v>
      </c>
      <c r="E89" s="8" t="s">
        <v>10</v>
      </c>
      <c r="F89" s="9">
        <v>2</v>
      </c>
      <c r="G89" s="9">
        <v>210</v>
      </c>
      <c r="H89" s="9">
        <f t="shared" si="1"/>
        <v>420</v>
      </c>
    </row>
    <row r="90" spans="1:8" x14ac:dyDescent="0.3">
      <c r="A90" s="6">
        <v>89</v>
      </c>
      <c r="B90" s="7">
        <v>44285</v>
      </c>
      <c r="C90" s="8" t="s">
        <v>11</v>
      </c>
      <c r="D90" s="8" t="s">
        <v>12</v>
      </c>
      <c r="E90" s="8" t="s">
        <v>19</v>
      </c>
      <c r="F90" s="9">
        <v>3</v>
      </c>
      <c r="G90" s="9">
        <v>300</v>
      </c>
      <c r="H90" s="9">
        <f t="shared" si="1"/>
        <v>900</v>
      </c>
    </row>
    <row r="91" spans="1:8" x14ac:dyDescent="0.3">
      <c r="A91" s="6">
        <v>90</v>
      </c>
      <c r="B91" s="7">
        <v>44286</v>
      </c>
      <c r="C91" s="8" t="s">
        <v>11</v>
      </c>
      <c r="D91" s="8" t="s">
        <v>9</v>
      </c>
      <c r="E91" s="8" t="s">
        <v>19</v>
      </c>
      <c r="F91" s="9">
        <v>3</v>
      </c>
      <c r="G91" s="9">
        <v>300</v>
      </c>
      <c r="H91" s="9">
        <f t="shared" si="1"/>
        <v>900</v>
      </c>
    </row>
    <row r="92" spans="1:8" x14ac:dyDescent="0.3">
      <c r="A92" s="6">
        <v>91</v>
      </c>
      <c r="B92" s="7">
        <v>44287</v>
      </c>
      <c r="C92" s="8" t="s">
        <v>11</v>
      </c>
      <c r="D92" s="8" t="s">
        <v>22</v>
      </c>
      <c r="E92" s="8" t="s">
        <v>19</v>
      </c>
      <c r="F92" s="9">
        <v>3</v>
      </c>
      <c r="G92" s="9">
        <v>300</v>
      </c>
      <c r="H92" s="9">
        <f t="shared" si="1"/>
        <v>900</v>
      </c>
    </row>
    <row r="93" spans="1:8" x14ac:dyDescent="0.3">
      <c r="A93" s="6">
        <v>92</v>
      </c>
      <c r="B93" s="7">
        <v>44288</v>
      </c>
      <c r="C93" s="8" t="s">
        <v>11</v>
      </c>
      <c r="D93" s="8" t="s">
        <v>23</v>
      </c>
      <c r="E93" s="8" t="s">
        <v>19</v>
      </c>
      <c r="F93" s="9">
        <v>3</v>
      </c>
      <c r="G93" s="9">
        <v>300</v>
      </c>
      <c r="H93" s="9">
        <f t="shared" si="1"/>
        <v>900</v>
      </c>
    </row>
    <row r="94" spans="1:8" x14ac:dyDescent="0.3">
      <c r="A94" s="6">
        <v>93</v>
      </c>
      <c r="B94" s="7">
        <v>44289</v>
      </c>
      <c r="C94" s="8" t="s">
        <v>11</v>
      </c>
      <c r="D94" s="8" t="s">
        <v>12</v>
      </c>
      <c r="E94" s="8" t="s">
        <v>19</v>
      </c>
      <c r="F94" s="9">
        <v>3</v>
      </c>
      <c r="G94" s="9">
        <v>300</v>
      </c>
      <c r="H94" s="9">
        <f t="shared" si="1"/>
        <v>900</v>
      </c>
    </row>
    <row r="95" spans="1:8" x14ac:dyDescent="0.3">
      <c r="A95" s="6">
        <v>94</v>
      </c>
      <c r="B95" s="7">
        <v>44290</v>
      </c>
      <c r="C95" s="8" t="s">
        <v>11</v>
      </c>
      <c r="D95" s="8" t="s">
        <v>9</v>
      </c>
      <c r="E95" s="8" t="s">
        <v>19</v>
      </c>
      <c r="F95" s="9">
        <v>3</v>
      </c>
      <c r="G95" s="9">
        <v>300</v>
      </c>
      <c r="H95" s="9">
        <f t="shared" si="1"/>
        <v>900</v>
      </c>
    </row>
    <row r="96" spans="1:8" x14ac:dyDescent="0.3">
      <c r="A96" s="6">
        <v>95</v>
      </c>
      <c r="B96" s="7">
        <v>44291</v>
      </c>
      <c r="C96" s="8" t="s">
        <v>11</v>
      </c>
      <c r="D96" s="8" t="s">
        <v>22</v>
      </c>
      <c r="E96" s="8" t="s">
        <v>19</v>
      </c>
      <c r="F96" s="9">
        <v>3</v>
      </c>
      <c r="G96" s="9">
        <v>300</v>
      </c>
      <c r="H96" s="9">
        <f t="shared" si="1"/>
        <v>900</v>
      </c>
    </row>
    <row r="97" spans="1:8" x14ac:dyDescent="0.3">
      <c r="A97" s="6">
        <v>96</v>
      </c>
      <c r="B97" s="7">
        <v>44292</v>
      </c>
      <c r="C97" s="8" t="s">
        <v>11</v>
      </c>
      <c r="D97" s="8" t="s">
        <v>23</v>
      </c>
      <c r="E97" s="8" t="s">
        <v>19</v>
      </c>
      <c r="F97" s="9">
        <v>3</v>
      </c>
      <c r="G97" s="9">
        <v>300</v>
      </c>
      <c r="H97" s="9">
        <f t="shared" si="1"/>
        <v>900</v>
      </c>
    </row>
    <row r="98" spans="1:8" x14ac:dyDescent="0.3">
      <c r="A98" s="6">
        <v>97</v>
      </c>
      <c r="B98" s="7">
        <v>44293</v>
      </c>
      <c r="C98" s="8" t="s">
        <v>14</v>
      </c>
      <c r="D98" s="8" t="s">
        <v>23</v>
      </c>
      <c r="E98" s="8" t="s">
        <v>19</v>
      </c>
      <c r="F98" s="9">
        <v>3</v>
      </c>
      <c r="G98" s="9">
        <v>300</v>
      </c>
      <c r="H98" s="9">
        <f t="shared" si="1"/>
        <v>900</v>
      </c>
    </row>
    <row r="99" spans="1:8" x14ac:dyDescent="0.3">
      <c r="A99" s="6">
        <v>98</v>
      </c>
      <c r="B99" s="7">
        <v>44294</v>
      </c>
      <c r="C99" s="8" t="s">
        <v>16</v>
      </c>
      <c r="D99" s="8" t="s">
        <v>23</v>
      </c>
      <c r="E99" s="8" t="s">
        <v>19</v>
      </c>
      <c r="F99" s="9">
        <v>3</v>
      </c>
      <c r="G99" s="9">
        <v>300</v>
      </c>
      <c r="H99" s="9">
        <f t="shared" si="1"/>
        <v>900</v>
      </c>
    </row>
    <row r="100" spans="1:8" x14ac:dyDescent="0.3">
      <c r="A100" s="6">
        <v>99</v>
      </c>
      <c r="B100" s="7">
        <v>44295</v>
      </c>
      <c r="C100" s="8" t="s">
        <v>18</v>
      </c>
      <c r="D100" s="8" t="s">
        <v>23</v>
      </c>
      <c r="E100" s="8" t="s">
        <v>10</v>
      </c>
      <c r="F100" s="9">
        <v>3</v>
      </c>
      <c r="G100" s="9">
        <v>190</v>
      </c>
      <c r="H100" s="9">
        <f t="shared" si="1"/>
        <v>570</v>
      </c>
    </row>
    <row r="101" spans="1:8" x14ac:dyDescent="0.3">
      <c r="A101" s="6">
        <v>100</v>
      </c>
      <c r="B101" s="7">
        <v>44296</v>
      </c>
      <c r="C101" s="8" t="s">
        <v>20</v>
      </c>
      <c r="D101" s="8" t="s">
        <v>23</v>
      </c>
      <c r="E101" s="8" t="s">
        <v>13</v>
      </c>
      <c r="F101" s="9">
        <v>2</v>
      </c>
      <c r="G101" s="9">
        <v>2100</v>
      </c>
      <c r="H101" s="9">
        <f t="shared" si="1"/>
        <v>4200</v>
      </c>
    </row>
    <row r="102" spans="1:8" x14ac:dyDescent="0.3">
      <c r="A102" s="6">
        <v>101</v>
      </c>
      <c r="B102" s="7">
        <v>44297</v>
      </c>
      <c r="C102" s="8" t="s">
        <v>20</v>
      </c>
      <c r="D102" s="8" t="s">
        <v>9</v>
      </c>
      <c r="E102" s="8" t="s">
        <v>10</v>
      </c>
      <c r="F102" s="9">
        <v>7</v>
      </c>
      <c r="G102" s="9">
        <v>210</v>
      </c>
      <c r="H102" s="9">
        <f t="shared" si="1"/>
        <v>1470</v>
      </c>
    </row>
    <row r="103" spans="1:8" x14ac:dyDescent="0.3">
      <c r="A103" s="6">
        <v>102</v>
      </c>
      <c r="B103" s="7">
        <v>44298</v>
      </c>
      <c r="C103" s="8" t="s">
        <v>20</v>
      </c>
      <c r="D103" s="8" t="s">
        <v>12</v>
      </c>
      <c r="E103" s="8" t="s">
        <v>13</v>
      </c>
      <c r="F103" s="9">
        <v>6</v>
      </c>
      <c r="G103" s="9">
        <v>2100</v>
      </c>
      <c r="H103" s="9">
        <f t="shared" si="1"/>
        <v>12600</v>
      </c>
    </row>
    <row r="104" spans="1:8" x14ac:dyDescent="0.3">
      <c r="A104" s="6">
        <v>103</v>
      </c>
      <c r="B104" s="7">
        <v>44299</v>
      </c>
      <c r="C104" s="8" t="s">
        <v>20</v>
      </c>
      <c r="D104" s="8" t="s">
        <v>22</v>
      </c>
      <c r="E104" s="8" t="s">
        <v>15</v>
      </c>
      <c r="F104" s="9">
        <v>5</v>
      </c>
      <c r="G104" s="9">
        <v>1200</v>
      </c>
      <c r="H104" s="9">
        <f t="shared" si="1"/>
        <v>6000</v>
      </c>
    </row>
    <row r="105" spans="1:8" x14ac:dyDescent="0.3">
      <c r="A105" s="6">
        <v>104</v>
      </c>
      <c r="B105" s="7">
        <v>44300</v>
      </c>
      <c r="C105" s="8" t="s">
        <v>20</v>
      </c>
      <c r="D105" s="8" t="s">
        <v>23</v>
      </c>
      <c r="E105" s="8" t="s">
        <v>13</v>
      </c>
      <c r="F105" s="9">
        <v>6</v>
      </c>
      <c r="G105" s="9">
        <v>2100</v>
      </c>
      <c r="H105" s="9">
        <f t="shared" si="1"/>
        <v>12600</v>
      </c>
    </row>
    <row r="106" spans="1:8" x14ac:dyDescent="0.3">
      <c r="A106" s="6">
        <v>105</v>
      </c>
      <c r="B106" s="7">
        <v>44301</v>
      </c>
      <c r="C106" s="8" t="s">
        <v>20</v>
      </c>
      <c r="D106" s="8" t="s">
        <v>9</v>
      </c>
      <c r="E106" s="8" t="s">
        <v>15</v>
      </c>
      <c r="F106" s="9">
        <v>5</v>
      </c>
      <c r="G106" s="9">
        <v>1200</v>
      </c>
      <c r="H106" s="9">
        <f t="shared" si="1"/>
        <v>6000</v>
      </c>
    </row>
    <row r="107" spans="1:8" x14ac:dyDescent="0.3">
      <c r="A107" s="6">
        <v>106</v>
      </c>
      <c r="B107" s="7">
        <v>44302</v>
      </c>
      <c r="C107" s="8" t="s">
        <v>20</v>
      </c>
      <c r="D107" s="8" t="s">
        <v>12</v>
      </c>
      <c r="E107" s="8" t="s">
        <v>21</v>
      </c>
      <c r="F107" s="9">
        <v>2</v>
      </c>
      <c r="G107" s="9">
        <v>190</v>
      </c>
      <c r="H107" s="9">
        <f t="shared" si="1"/>
        <v>380</v>
      </c>
    </row>
    <row r="108" spans="1:8" x14ac:dyDescent="0.3">
      <c r="A108" s="6">
        <v>107</v>
      </c>
      <c r="B108" s="7">
        <v>44303</v>
      </c>
      <c r="C108" s="8" t="s">
        <v>20</v>
      </c>
      <c r="D108" s="8" t="s">
        <v>22</v>
      </c>
      <c r="E108" s="8" t="s">
        <v>13</v>
      </c>
      <c r="F108" s="9">
        <v>6</v>
      </c>
      <c r="G108" s="9">
        <v>2100</v>
      </c>
      <c r="H108" s="9">
        <f t="shared" si="1"/>
        <v>12600</v>
      </c>
    </row>
    <row r="109" spans="1:8" x14ac:dyDescent="0.3">
      <c r="A109" s="6">
        <v>108</v>
      </c>
      <c r="B109" s="7">
        <v>44304</v>
      </c>
      <c r="C109" s="8" t="s">
        <v>20</v>
      </c>
      <c r="D109" s="8" t="s">
        <v>23</v>
      </c>
      <c r="E109" s="8" t="s">
        <v>15</v>
      </c>
      <c r="F109" s="9">
        <v>5</v>
      </c>
      <c r="G109" s="9">
        <v>1200</v>
      </c>
      <c r="H109" s="9">
        <f t="shared" si="1"/>
        <v>6000</v>
      </c>
    </row>
    <row r="110" spans="1:8" x14ac:dyDescent="0.3">
      <c r="A110" s="6">
        <v>109</v>
      </c>
      <c r="B110" s="7">
        <v>44305</v>
      </c>
      <c r="C110" s="8" t="s">
        <v>8</v>
      </c>
      <c r="D110" s="8" t="s">
        <v>9</v>
      </c>
      <c r="E110" s="8" t="s">
        <v>13</v>
      </c>
      <c r="F110" s="9">
        <v>6</v>
      </c>
      <c r="G110" s="9">
        <v>2100</v>
      </c>
      <c r="H110" s="9">
        <f t="shared" si="1"/>
        <v>12600</v>
      </c>
    </row>
    <row r="111" spans="1:8" x14ac:dyDescent="0.3">
      <c r="A111" s="6">
        <v>110</v>
      </c>
      <c r="B111" s="7">
        <v>44306</v>
      </c>
      <c r="C111" s="8" t="s">
        <v>11</v>
      </c>
      <c r="D111" s="8" t="s">
        <v>12</v>
      </c>
      <c r="E111" s="8" t="s">
        <v>15</v>
      </c>
      <c r="F111" s="9">
        <v>5</v>
      </c>
      <c r="G111" s="9">
        <v>1200</v>
      </c>
      <c r="H111" s="9">
        <f t="shared" si="1"/>
        <v>6000</v>
      </c>
    </row>
    <row r="112" spans="1:8" x14ac:dyDescent="0.3">
      <c r="A112" s="6">
        <v>111</v>
      </c>
      <c r="B112" s="7">
        <v>44307</v>
      </c>
      <c r="C112" s="8" t="s">
        <v>14</v>
      </c>
      <c r="D112" s="8" t="s">
        <v>9</v>
      </c>
      <c r="E112" s="8" t="s">
        <v>13</v>
      </c>
      <c r="F112" s="9">
        <v>6</v>
      </c>
      <c r="G112" s="9">
        <v>2100</v>
      </c>
      <c r="H112" s="9">
        <f t="shared" si="1"/>
        <v>12600</v>
      </c>
    </row>
    <row r="113" spans="1:8" x14ac:dyDescent="0.3">
      <c r="A113" s="6">
        <v>112</v>
      </c>
      <c r="B113" s="7">
        <v>44308</v>
      </c>
      <c r="C113" s="8" t="s">
        <v>16</v>
      </c>
      <c r="D113" s="8" t="s">
        <v>12</v>
      </c>
      <c r="E113" s="8" t="s">
        <v>15</v>
      </c>
      <c r="F113" s="9">
        <v>5</v>
      </c>
      <c r="G113" s="9">
        <v>1200</v>
      </c>
      <c r="H113" s="9">
        <f t="shared" si="1"/>
        <v>6000</v>
      </c>
    </row>
    <row r="114" spans="1:8" x14ac:dyDescent="0.3">
      <c r="A114" s="6">
        <v>113</v>
      </c>
      <c r="B114" s="7">
        <v>44309</v>
      </c>
      <c r="C114" s="8" t="s">
        <v>18</v>
      </c>
      <c r="D114" s="8" t="s">
        <v>9</v>
      </c>
      <c r="E114" s="8" t="s">
        <v>10</v>
      </c>
      <c r="F114" s="9">
        <v>2</v>
      </c>
      <c r="G114" s="9">
        <v>210</v>
      </c>
      <c r="H114" s="9">
        <f t="shared" si="1"/>
        <v>420</v>
      </c>
    </row>
    <row r="115" spans="1:8" x14ac:dyDescent="0.3">
      <c r="A115" s="6">
        <v>114</v>
      </c>
      <c r="B115" s="7">
        <v>44310</v>
      </c>
      <c r="C115" s="8" t="s">
        <v>20</v>
      </c>
      <c r="D115" s="8" t="s">
        <v>9</v>
      </c>
      <c r="E115" s="8" t="s">
        <v>13</v>
      </c>
      <c r="F115" s="9">
        <v>7</v>
      </c>
      <c r="G115" s="9">
        <v>2100</v>
      </c>
      <c r="H115" s="9">
        <f t="shared" si="1"/>
        <v>14700</v>
      </c>
    </row>
    <row r="116" spans="1:8" x14ac:dyDescent="0.3">
      <c r="A116" s="6">
        <v>115</v>
      </c>
      <c r="B116" s="7">
        <v>44311</v>
      </c>
      <c r="C116" s="8" t="s">
        <v>8</v>
      </c>
      <c r="D116" s="8" t="s">
        <v>9</v>
      </c>
      <c r="E116" s="8" t="s">
        <v>15</v>
      </c>
      <c r="F116" s="9">
        <v>6</v>
      </c>
      <c r="G116" s="9">
        <v>1200</v>
      </c>
      <c r="H116" s="9">
        <f t="shared" si="1"/>
        <v>7200</v>
      </c>
    </row>
    <row r="117" spans="1:8" x14ac:dyDescent="0.3">
      <c r="A117" s="6">
        <v>116</v>
      </c>
      <c r="B117" s="7">
        <v>44312</v>
      </c>
      <c r="C117" s="8" t="s">
        <v>11</v>
      </c>
      <c r="D117" s="8" t="s">
        <v>12</v>
      </c>
      <c r="E117" s="8" t="s">
        <v>17</v>
      </c>
      <c r="F117" s="9">
        <v>5</v>
      </c>
      <c r="G117" s="9">
        <v>1500</v>
      </c>
      <c r="H117" s="9">
        <f t="shared" si="1"/>
        <v>7500</v>
      </c>
    </row>
    <row r="118" spans="1:8" x14ac:dyDescent="0.3">
      <c r="A118" s="6">
        <v>117</v>
      </c>
      <c r="B118" s="7">
        <v>44313</v>
      </c>
      <c r="C118" s="8" t="s">
        <v>14</v>
      </c>
      <c r="D118" s="8" t="s">
        <v>12</v>
      </c>
      <c r="E118" s="8" t="s">
        <v>19</v>
      </c>
      <c r="F118" s="9">
        <v>4</v>
      </c>
      <c r="G118" s="9">
        <v>300</v>
      </c>
      <c r="H118" s="9">
        <f t="shared" si="1"/>
        <v>1200</v>
      </c>
    </row>
    <row r="119" spans="1:8" x14ac:dyDescent="0.3">
      <c r="A119" s="6">
        <v>118</v>
      </c>
      <c r="B119" s="7">
        <v>44314</v>
      </c>
      <c r="C119" s="8" t="s">
        <v>16</v>
      </c>
      <c r="D119" s="8" t="s">
        <v>9</v>
      </c>
      <c r="E119" s="8" t="s">
        <v>21</v>
      </c>
      <c r="F119" s="9">
        <v>3</v>
      </c>
      <c r="G119" s="9">
        <v>190</v>
      </c>
      <c r="H119" s="9">
        <f t="shared" si="1"/>
        <v>570</v>
      </c>
    </row>
    <row r="120" spans="1:8" x14ac:dyDescent="0.3">
      <c r="A120" s="6">
        <v>119</v>
      </c>
      <c r="B120" s="7">
        <v>44315</v>
      </c>
      <c r="C120" s="8" t="s">
        <v>18</v>
      </c>
      <c r="D120" s="8" t="s">
        <v>9</v>
      </c>
      <c r="E120" s="8" t="s">
        <v>10</v>
      </c>
      <c r="F120" s="9">
        <v>2</v>
      </c>
      <c r="G120" s="9">
        <v>210</v>
      </c>
      <c r="H120" s="9">
        <f t="shared" si="1"/>
        <v>420</v>
      </c>
    </row>
    <row r="121" spans="1:8" x14ac:dyDescent="0.3">
      <c r="A121" s="6">
        <v>120</v>
      </c>
      <c r="B121" s="7">
        <v>44316</v>
      </c>
      <c r="C121" s="8" t="s">
        <v>20</v>
      </c>
      <c r="D121" s="8" t="s">
        <v>12</v>
      </c>
      <c r="E121" s="8" t="s">
        <v>15</v>
      </c>
      <c r="F121" s="9">
        <v>7</v>
      </c>
      <c r="G121" s="9">
        <v>2100</v>
      </c>
      <c r="H121" s="9">
        <f t="shared" si="1"/>
        <v>14700</v>
      </c>
    </row>
    <row r="122" spans="1:8" x14ac:dyDescent="0.3">
      <c r="A122" s="6">
        <v>121</v>
      </c>
      <c r="B122" s="7">
        <v>44317</v>
      </c>
      <c r="C122" s="8" t="s">
        <v>20</v>
      </c>
      <c r="D122" s="8" t="s">
        <v>9</v>
      </c>
      <c r="E122" s="8" t="s">
        <v>17</v>
      </c>
      <c r="F122" s="9">
        <v>6</v>
      </c>
      <c r="G122" s="9">
        <v>1200</v>
      </c>
      <c r="H122" s="9">
        <f t="shared" si="1"/>
        <v>7200</v>
      </c>
    </row>
    <row r="123" spans="1:8" x14ac:dyDescent="0.3">
      <c r="A123" s="6">
        <v>122</v>
      </c>
      <c r="B123" s="7">
        <v>44318</v>
      </c>
      <c r="C123" s="8" t="s">
        <v>8</v>
      </c>
      <c r="D123" s="8" t="s">
        <v>9</v>
      </c>
      <c r="E123" s="8" t="s">
        <v>19</v>
      </c>
      <c r="F123" s="9">
        <v>5</v>
      </c>
      <c r="G123" s="9">
        <v>300</v>
      </c>
      <c r="H123" s="9">
        <f t="shared" si="1"/>
        <v>1500</v>
      </c>
    </row>
    <row r="124" spans="1:8" x14ac:dyDescent="0.3">
      <c r="A124" s="6">
        <v>123</v>
      </c>
      <c r="B124" s="7">
        <v>44319</v>
      </c>
      <c r="C124" s="8" t="s">
        <v>11</v>
      </c>
      <c r="D124" s="8" t="s">
        <v>9</v>
      </c>
      <c r="E124" s="8" t="s">
        <v>21</v>
      </c>
      <c r="F124" s="9">
        <v>4</v>
      </c>
      <c r="G124" s="9">
        <v>200</v>
      </c>
      <c r="H124" s="9">
        <f t="shared" si="1"/>
        <v>800</v>
      </c>
    </row>
    <row r="125" spans="1:8" x14ac:dyDescent="0.3">
      <c r="A125" s="6">
        <v>124</v>
      </c>
      <c r="B125" s="7">
        <v>44320</v>
      </c>
      <c r="C125" s="8" t="s">
        <v>14</v>
      </c>
      <c r="D125" s="8" t="s">
        <v>9</v>
      </c>
      <c r="E125" s="8" t="s">
        <v>10</v>
      </c>
      <c r="F125" s="9">
        <v>3</v>
      </c>
      <c r="G125" s="9">
        <v>190</v>
      </c>
      <c r="H125" s="9">
        <f t="shared" si="1"/>
        <v>570</v>
      </c>
    </row>
    <row r="126" spans="1:8" x14ac:dyDescent="0.3">
      <c r="A126" s="6">
        <v>125</v>
      </c>
      <c r="B126" s="7">
        <v>44321</v>
      </c>
      <c r="C126" s="8" t="s">
        <v>16</v>
      </c>
      <c r="D126" s="8" t="s">
        <v>9</v>
      </c>
      <c r="E126" s="8" t="s">
        <v>13</v>
      </c>
      <c r="F126" s="9">
        <v>2</v>
      </c>
      <c r="G126" s="9">
        <v>2100</v>
      </c>
      <c r="H126" s="9">
        <f t="shared" si="1"/>
        <v>4200</v>
      </c>
    </row>
    <row r="127" spans="1:8" x14ac:dyDescent="0.3">
      <c r="A127" s="6">
        <v>126</v>
      </c>
      <c r="B127" s="7">
        <v>44322</v>
      </c>
      <c r="C127" s="8" t="s">
        <v>18</v>
      </c>
      <c r="D127" s="8" t="s">
        <v>9</v>
      </c>
      <c r="E127" s="8" t="s">
        <v>10</v>
      </c>
      <c r="F127" s="9">
        <v>7</v>
      </c>
      <c r="G127" s="9">
        <v>210</v>
      </c>
      <c r="H127" s="9">
        <f t="shared" si="1"/>
        <v>1470</v>
      </c>
    </row>
    <row r="128" spans="1:8" x14ac:dyDescent="0.3">
      <c r="A128" s="6">
        <v>127</v>
      </c>
      <c r="B128" s="7">
        <v>44323</v>
      </c>
      <c r="C128" s="8" t="s">
        <v>20</v>
      </c>
      <c r="D128" s="8" t="s">
        <v>9</v>
      </c>
      <c r="E128" s="8" t="s">
        <v>13</v>
      </c>
      <c r="F128" s="9">
        <v>6</v>
      </c>
      <c r="G128" s="9">
        <v>2100</v>
      </c>
      <c r="H128" s="9">
        <f t="shared" si="1"/>
        <v>12600</v>
      </c>
    </row>
    <row r="129" spans="1:8" x14ac:dyDescent="0.3">
      <c r="A129" s="6">
        <v>128</v>
      </c>
      <c r="B129" s="7">
        <v>44324</v>
      </c>
      <c r="C129" s="8" t="s">
        <v>8</v>
      </c>
      <c r="D129" s="8" t="s">
        <v>9</v>
      </c>
      <c r="E129" s="8" t="s">
        <v>15</v>
      </c>
      <c r="F129" s="9">
        <v>5</v>
      </c>
      <c r="G129" s="9">
        <v>1200</v>
      </c>
      <c r="H129" s="9">
        <f t="shared" si="1"/>
        <v>6000</v>
      </c>
    </row>
    <row r="130" spans="1:8" x14ac:dyDescent="0.3">
      <c r="A130" s="6">
        <v>129</v>
      </c>
      <c r="B130" s="7">
        <v>44325</v>
      </c>
      <c r="C130" s="8" t="s">
        <v>11</v>
      </c>
      <c r="D130" s="8" t="s">
        <v>12</v>
      </c>
      <c r="E130" s="8" t="s">
        <v>17</v>
      </c>
      <c r="F130" s="9">
        <v>4</v>
      </c>
      <c r="G130" s="9">
        <v>1500</v>
      </c>
      <c r="H130" s="9">
        <f t="shared" si="1"/>
        <v>6000</v>
      </c>
    </row>
    <row r="131" spans="1:8" x14ac:dyDescent="0.3">
      <c r="A131" s="6">
        <v>130</v>
      </c>
      <c r="B131" s="7">
        <v>44326</v>
      </c>
      <c r="C131" s="8" t="s">
        <v>14</v>
      </c>
      <c r="D131" s="8" t="s">
        <v>9</v>
      </c>
      <c r="E131" s="8" t="s">
        <v>19</v>
      </c>
      <c r="F131" s="9">
        <v>3</v>
      </c>
      <c r="G131" s="9">
        <v>300</v>
      </c>
      <c r="H131" s="9">
        <f t="shared" ref="H131:H194" si="2">F131*G131</f>
        <v>900</v>
      </c>
    </row>
    <row r="132" spans="1:8" x14ac:dyDescent="0.3">
      <c r="A132" s="6">
        <v>131</v>
      </c>
      <c r="B132" s="7">
        <v>44327</v>
      </c>
      <c r="C132" s="8" t="s">
        <v>16</v>
      </c>
      <c r="D132" s="8" t="s">
        <v>12</v>
      </c>
      <c r="E132" s="8" t="s">
        <v>21</v>
      </c>
      <c r="F132" s="9">
        <v>2</v>
      </c>
      <c r="G132" s="9">
        <v>190</v>
      </c>
      <c r="H132" s="9">
        <f t="shared" si="2"/>
        <v>380</v>
      </c>
    </row>
    <row r="133" spans="1:8" x14ac:dyDescent="0.3">
      <c r="A133" s="6">
        <v>132</v>
      </c>
      <c r="B133" s="7">
        <v>44328</v>
      </c>
      <c r="C133" s="8" t="s">
        <v>18</v>
      </c>
      <c r="D133" s="8" t="s">
        <v>9</v>
      </c>
      <c r="E133" s="8" t="s">
        <v>10</v>
      </c>
      <c r="F133" s="9">
        <v>7</v>
      </c>
      <c r="G133" s="9">
        <v>210</v>
      </c>
      <c r="H133" s="9">
        <f t="shared" si="2"/>
        <v>1470</v>
      </c>
    </row>
    <row r="134" spans="1:8" x14ac:dyDescent="0.3">
      <c r="A134" s="6">
        <v>133</v>
      </c>
      <c r="B134" s="7">
        <v>44329</v>
      </c>
      <c r="C134" s="8" t="s">
        <v>20</v>
      </c>
      <c r="D134" s="8" t="s">
        <v>9</v>
      </c>
      <c r="E134" s="8" t="s">
        <v>13</v>
      </c>
      <c r="F134" s="9">
        <v>6</v>
      </c>
      <c r="G134" s="9">
        <v>2100</v>
      </c>
      <c r="H134" s="9">
        <f t="shared" si="2"/>
        <v>12600</v>
      </c>
    </row>
    <row r="135" spans="1:8" x14ac:dyDescent="0.3">
      <c r="A135" s="6">
        <v>134</v>
      </c>
      <c r="B135" s="7">
        <v>44330</v>
      </c>
      <c r="C135" s="8" t="s">
        <v>20</v>
      </c>
      <c r="D135" s="8" t="s">
        <v>9</v>
      </c>
      <c r="E135" s="8" t="s">
        <v>15</v>
      </c>
      <c r="F135" s="9">
        <v>5</v>
      </c>
      <c r="G135" s="9">
        <v>1200</v>
      </c>
      <c r="H135" s="9">
        <f t="shared" si="2"/>
        <v>6000</v>
      </c>
    </row>
    <row r="136" spans="1:8" x14ac:dyDescent="0.3">
      <c r="A136" s="6">
        <v>135</v>
      </c>
      <c r="B136" s="7">
        <v>44331</v>
      </c>
      <c r="C136" s="8" t="s">
        <v>8</v>
      </c>
      <c r="D136" s="8" t="s">
        <v>9</v>
      </c>
      <c r="E136" s="8" t="s">
        <v>17</v>
      </c>
      <c r="F136" s="9">
        <v>4</v>
      </c>
      <c r="G136" s="9">
        <v>1500</v>
      </c>
      <c r="H136" s="9">
        <f t="shared" si="2"/>
        <v>6000</v>
      </c>
    </row>
    <row r="137" spans="1:8" x14ac:dyDescent="0.3">
      <c r="A137" s="6">
        <v>136</v>
      </c>
      <c r="B137" s="7">
        <v>44332</v>
      </c>
      <c r="C137" s="8" t="s">
        <v>8</v>
      </c>
      <c r="D137" s="8" t="s">
        <v>12</v>
      </c>
      <c r="E137" s="8" t="s">
        <v>19</v>
      </c>
      <c r="F137" s="9">
        <v>3</v>
      </c>
      <c r="G137" s="9">
        <v>300</v>
      </c>
      <c r="H137" s="9">
        <f t="shared" si="2"/>
        <v>900</v>
      </c>
    </row>
    <row r="138" spans="1:8" x14ac:dyDescent="0.3">
      <c r="A138" s="6">
        <v>137</v>
      </c>
      <c r="B138" s="7">
        <v>44333</v>
      </c>
      <c r="C138" s="8" t="s">
        <v>8</v>
      </c>
      <c r="D138" s="8" t="s">
        <v>22</v>
      </c>
      <c r="E138" s="8" t="s">
        <v>21</v>
      </c>
      <c r="F138" s="9">
        <v>2</v>
      </c>
      <c r="G138" s="9">
        <v>190</v>
      </c>
      <c r="H138" s="9">
        <f t="shared" si="2"/>
        <v>380</v>
      </c>
    </row>
    <row r="139" spans="1:8" x14ac:dyDescent="0.3">
      <c r="A139" s="6">
        <v>138</v>
      </c>
      <c r="B139" s="7">
        <v>44334</v>
      </c>
      <c r="C139" s="8" t="s">
        <v>8</v>
      </c>
      <c r="D139" s="8" t="s">
        <v>23</v>
      </c>
      <c r="E139" s="8" t="s">
        <v>10</v>
      </c>
      <c r="F139" s="9">
        <v>2</v>
      </c>
      <c r="G139" s="9">
        <v>210</v>
      </c>
      <c r="H139" s="9">
        <f t="shared" si="2"/>
        <v>420</v>
      </c>
    </row>
    <row r="140" spans="1:8" x14ac:dyDescent="0.3">
      <c r="A140" s="6">
        <v>139</v>
      </c>
      <c r="B140" s="7">
        <v>44335</v>
      </c>
      <c r="C140" s="8" t="s">
        <v>8</v>
      </c>
      <c r="D140" s="8" t="s">
        <v>9</v>
      </c>
      <c r="E140" s="8" t="s">
        <v>13</v>
      </c>
      <c r="F140" s="9">
        <v>7</v>
      </c>
      <c r="G140" s="9">
        <v>2100</v>
      </c>
      <c r="H140" s="9">
        <f t="shared" si="2"/>
        <v>14700</v>
      </c>
    </row>
    <row r="141" spans="1:8" x14ac:dyDescent="0.3">
      <c r="A141" s="6">
        <v>140</v>
      </c>
      <c r="B141" s="7">
        <v>44336</v>
      </c>
      <c r="C141" s="8" t="s">
        <v>8</v>
      </c>
      <c r="D141" s="8" t="s">
        <v>12</v>
      </c>
      <c r="E141" s="8" t="s">
        <v>15</v>
      </c>
      <c r="F141" s="9">
        <v>6</v>
      </c>
      <c r="G141" s="9">
        <v>1200</v>
      </c>
      <c r="H141" s="9">
        <f t="shared" si="2"/>
        <v>7200</v>
      </c>
    </row>
    <row r="142" spans="1:8" x14ac:dyDescent="0.3">
      <c r="A142" s="6">
        <v>141</v>
      </c>
      <c r="B142" s="7">
        <v>44337</v>
      </c>
      <c r="C142" s="8" t="s">
        <v>8</v>
      </c>
      <c r="D142" s="8" t="s">
        <v>22</v>
      </c>
      <c r="E142" s="8" t="s">
        <v>17</v>
      </c>
      <c r="F142" s="9">
        <v>5</v>
      </c>
      <c r="G142" s="9">
        <v>1500</v>
      </c>
      <c r="H142" s="9">
        <f t="shared" si="2"/>
        <v>7500</v>
      </c>
    </row>
    <row r="143" spans="1:8" x14ac:dyDescent="0.3">
      <c r="A143" s="6">
        <v>142</v>
      </c>
      <c r="B143" s="7">
        <v>44338</v>
      </c>
      <c r="C143" s="8" t="s">
        <v>8</v>
      </c>
      <c r="D143" s="8" t="s">
        <v>23</v>
      </c>
      <c r="E143" s="8" t="s">
        <v>19</v>
      </c>
      <c r="F143" s="9">
        <v>4</v>
      </c>
      <c r="G143" s="9">
        <v>300</v>
      </c>
      <c r="H143" s="9">
        <f t="shared" si="2"/>
        <v>1200</v>
      </c>
    </row>
    <row r="144" spans="1:8" x14ac:dyDescent="0.3">
      <c r="A144" s="6">
        <v>143</v>
      </c>
      <c r="B144" s="7">
        <v>44339</v>
      </c>
      <c r="C144" s="8" t="s">
        <v>11</v>
      </c>
      <c r="D144" s="8" t="s">
        <v>12</v>
      </c>
      <c r="E144" s="8" t="s">
        <v>21</v>
      </c>
      <c r="F144" s="9">
        <v>3</v>
      </c>
      <c r="G144" s="9">
        <v>190</v>
      </c>
      <c r="H144" s="9">
        <f t="shared" si="2"/>
        <v>570</v>
      </c>
    </row>
    <row r="145" spans="1:8" x14ac:dyDescent="0.3">
      <c r="A145" s="6">
        <v>144</v>
      </c>
      <c r="B145" s="7">
        <v>44340</v>
      </c>
      <c r="C145" s="8" t="s">
        <v>11</v>
      </c>
      <c r="D145" s="8" t="s">
        <v>9</v>
      </c>
      <c r="E145" s="8" t="s">
        <v>19</v>
      </c>
      <c r="F145" s="9">
        <v>4</v>
      </c>
      <c r="G145" s="9">
        <v>300</v>
      </c>
      <c r="H145" s="9">
        <f t="shared" si="2"/>
        <v>1200</v>
      </c>
    </row>
    <row r="146" spans="1:8" x14ac:dyDescent="0.3">
      <c r="A146" s="6">
        <v>145</v>
      </c>
      <c r="B146" s="7">
        <v>44341</v>
      </c>
      <c r="C146" s="8" t="s">
        <v>11</v>
      </c>
      <c r="D146" s="8" t="s">
        <v>22</v>
      </c>
      <c r="E146" s="8" t="s">
        <v>19</v>
      </c>
      <c r="F146" s="9">
        <v>4</v>
      </c>
      <c r="G146" s="9">
        <v>300</v>
      </c>
      <c r="H146" s="9">
        <f t="shared" si="2"/>
        <v>1200</v>
      </c>
    </row>
    <row r="147" spans="1:8" x14ac:dyDescent="0.3">
      <c r="A147" s="6">
        <v>146</v>
      </c>
      <c r="B147" s="7">
        <v>44342</v>
      </c>
      <c r="C147" s="8" t="s">
        <v>11</v>
      </c>
      <c r="D147" s="8" t="s">
        <v>23</v>
      </c>
      <c r="E147" s="8" t="s">
        <v>19</v>
      </c>
      <c r="F147" s="9">
        <v>4</v>
      </c>
      <c r="G147" s="9">
        <v>300</v>
      </c>
      <c r="H147" s="9">
        <f t="shared" si="2"/>
        <v>1200</v>
      </c>
    </row>
    <row r="148" spans="1:8" x14ac:dyDescent="0.3">
      <c r="A148" s="6">
        <v>147</v>
      </c>
      <c r="B148" s="7">
        <v>44343</v>
      </c>
      <c r="C148" s="8" t="s">
        <v>11</v>
      </c>
      <c r="D148" s="8" t="s">
        <v>12</v>
      </c>
      <c r="E148" s="8" t="s">
        <v>19</v>
      </c>
      <c r="F148" s="9">
        <v>4</v>
      </c>
      <c r="G148" s="9">
        <v>300</v>
      </c>
      <c r="H148" s="9">
        <f t="shared" si="2"/>
        <v>1200</v>
      </c>
    </row>
    <row r="149" spans="1:8" x14ac:dyDescent="0.3">
      <c r="A149" s="6">
        <v>148</v>
      </c>
      <c r="B149" s="7">
        <v>44344</v>
      </c>
      <c r="C149" s="8" t="s">
        <v>11</v>
      </c>
      <c r="D149" s="8" t="s">
        <v>9</v>
      </c>
      <c r="E149" s="8" t="s">
        <v>19</v>
      </c>
      <c r="F149" s="9">
        <v>4</v>
      </c>
      <c r="G149" s="9">
        <v>300</v>
      </c>
      <c r="H149" s="9">
        <f t="shared" si="2"/>
        <v>1200</v>
      </c>
    </row>
    <row r="150" spans="1:8" x14ac:dyDescent="0.3">
      <c r="A150" s="6">
        <v>149</v>
      </c>
      <c r="B150" s="7">
        <v>44345</v>
      </c>
      <c r="C150" s="8" t="s">
        <v>11</v>
      </c>
      <c r="D150" s="8" t="s">
        <v>22</v>
      </c>
      <c r="E150" s="8" t="s">
        <v>19</v>
      </c>
      <c r="F150" s="9">
        <v>4</v>
      </c>
      <c r="G150" s="9">
        <v>300</v>
      </c>
      <c r="H150" s="9">
        <f t="shared" si="2"/>
        <v>1200</v>
      </c>
    </row>
    <row r="151" spans="1:8" x14ac:dyDescent="0.3">
      <c r="A151" s="6">
        <v>150</v>
      </c>
      <c r="B151" s="7">
        <v>44346</v>
      </c>
      <c r="C151" s="8" t="s">
        <v>11</v>
      </c>
      <c r="D151" s="8" t="s">
        <v>23</v>
      </c>
      <c r="E151" s="8" t="s">
        <v>19</v>
      </c>
      <c r="F151" s="9">
        <v>4</v>
      </c>
      <c r="G151" s="9">
        <v>300</v>
      </c>
      <c r="H151" s="9">
        <f t="shared" si="2"/>
        <v>1200</v>
      </c>
    </row>
    <row r="152" spans="1:8" x14ac:dyDescent="0.3">
      <c r="A152" s="6">
        <v>151</v>
      </c>
      <c r="B152" s="7">
        <v>44347</v>
      </c>
      <c r="C152" s="8" t="s">
        <v>14</v>
      </c>
      <c r="D152" s="8" t="s">
        <v>23</v>
      </c>
      <c r="E152" s="8" t="s">
        <v>19</v>
      </c>
      <c r="F152" s="9">
        <v>4</v>
      </c>
      <c r="G152" s="9">
        <v>300</v>
      </c>
      <c r="H152" s="9">
        <f t="shared" si="2"/>
        <v>1200</v>
      </c>
    </row>
    <row r="153" spans="1:8" x14ac:dyDescent="0.3">
      <c r="A153" s="6">
        <v>152</v>
      </c>
      <c r="B153" s="7">
        <v>44348</v>
      </c>
      <c r="C153" s="8" t="s">
        <v>16</v>
      </c>
      <c r="D153" s="8" t="s">
        <v>23</v>
      </c>
      <c r="E153" s="8" t="s">
        <v>13</v>
      </c>
      <c r="F153" s="9">
        <v>6</v>
      </c>
      <c r="G153" s="9">
        <v>2100</v>
      </c>
      <c r="H153" s="9">
        <f t="shared" si="2"/>
        <v>12600</v>
      </c>
    </row>
    <row r="154" spans="1:8" x14ac:dyDescent="0.3">
      <c r="A154" s="6">
        <v>153</v>
      </c>
      <c r="B154" s="7">
        <v>44349</v>
      </c>
      <c r="C154" s="8" t="s">
        <v>18</v>
      </c>
      <c r="D154" s="8" t="s">
        <v>23</v>
      </c>
      <c r="E154" s="8" t="s">
        <v>15</v>
      </c>
      <c r="F154" s="9">
        <v>5</v>
      </c>
      <c r="G154" s="9">
        <v>1200</v>
      </c>
      <c r="H154" s="9">
        <f t="shared" si="2"/>
        <v>6000</v>
      </c>
    </row>
    <row r="155" spans="1:8" x14ac:dyDescent="0.3">
      <c r="A155" s="6">
        <v>154</v>
      </c>
      <c r="B155" s="7">
        <v>44350</v>
      </c>
      <c r="C155" s="8" t="s">
        <v>20</v>
      </c>
      <c r="D155" s="8" t="s">
        <v>23</v>
      </c>
      <c r="E155" s="8" t="s">
        <v>17</v>
      </c>
      <c r="F155" s="9">
        <v>4</v>
      </c>
      <c r="G155" s="9">
        <v>1500</v>
      </c>
      <c r="H155" s="9">
        <f t="shared" si="2"/>
        <v>6000</v>
      </c>
    </row>
    <row r="156" spans="1:8" x14ac:dyDescent="0.3">
      <c r="A156" s="6">
        <v>155</v>
      </c>
      <c r="B156" s="7">
        <v>44351</v>
      </c>
      <c r="C156" s="8" t="s">
        <v>20</v>
      </c>
      <c r="D156" s="8" t="s">
        <v>9</v>
      </c>
      <c r="E156" s="8" t="s">
        <v>19</v>
      </c>
      <c r="F156" s="9">
        <v>3</v>
      </c>
      <c r="G156" s="9">
        <v>300</v>
      </c>
      <c r="H156" s="9">
        <f t="shared" si="2"/>
        <v>900</v>
      </c>
    </row>
    <row r="157" spans="1:8" x14ac:dyDescent="0.3">
      <c r="A157" s="6">
        <v>156</v>
      </c>
      <c r="B157" s="7">
        <v>44352</v>
      </c>
      <c r="C157" s="8" t="s">
        <v>20</v>
      </c>
      <c r="D157" s="8" t="s">
        <v>12</v>
      </c>
      <c r="E157" s="8" t="s">
        <v>21</v>
      </c>
      <c r="F157" s="9">
        <v>2</v>
      </c>
      <c r="G157" s="9">
        <v>190</v>
      </c>
      <c r="H157" s="9">
        <f t="shared" si="2"/>
        <v>380</v>
      </c>
    </row>
    <row r="158" spans="1:8" x14ac:dyDescent="0.3">
      <c r="A158" s="6">
        <v>157</v>
      </c>
      <c r="B158" s="7">
        <v>44353</v>
      </c>
      <c r="C158" s="8" t="s">
        <v>20</v>
      </c>
      <c r="D158" s="8" t="s">
        <v>22</v>
      </c>
      <c r="E158" s="8" t="s">
        <v>10</v>
      </c>
      <c r="F158" s="9">
        <v>7</v>
      </c>
      <c r="G158" s="9">
        <v>210</v>
      </c>
      <c r="H158" s="9">
        <f t="shared" si="2"/>
        <v>1470</v>
      </c>
    </row>
    <row r="159" spans="1:8" x14ac:dyDescent="0.3">
      <c r="A159" s="6">
        <v>158</v>
      </c>
      <c r="B159" s="7">
        <v>44354</v>
      </c>
      <c r="C159" s="8" t="s">
        <v>20</v>
      </c>
      <c r="D159" s="8" t="s">
        <v>23</v>
      </c>
      <c r="E159" s="8" t="s">
        <v>13</v>
      </c>
      <c r="F159" s="9">
        <v>6</v>
      </c>
      <c r="G159" s="9">
        <v>2100</v>
      </c>
      <c r="H159" s="9">
        <f t="shared" si="2"/>
        <v>12600</v>
      </c>
    </row>
    <row r="160" spans="1:8" x14ac:dyDescent="0.3">
      <c r="A160" s="6">
        <v>159</v>
      </c>
      <c r="B160" s="7">
        <v>44355</v>
      </c>
      <c r="C160" s="8" t="s">
        <v>20</v>
      </c>
      <c r="D160" s="8" t="s">
        <v>9</v>
      </c>
      <c r="E160" s="8" t="s">
        <v>15</v>
      </c>
      <c r="F160" s="9">
        <v>5</v>
      </c>
      <c r="G160" s="9">
        <v>1200</v>
      </c>
      <c r="H160" s="9">
        <f t="shared" si="2"/>
        <v>6000</v>
      </c>
    </row>
    <row r="161" spans="1:8" x14ac:dyDescent="0.3">
      <c r="A161" s="6">
        <v>160</v>
      </c>
      <c r="B161" s="7">
        <v>44356</v>
      </c>
      <c r="C161" s="8" t="s">
        <v>20</v>
      </c>
      <c r="D161" s="8" t="s">
        <v>12</v>
      </c>
      <c r="E161" s="8" t="s">
        <v>17</v>
      </c>
      <c r="F161" s="9">
        <v>4</v>
      </c>
      <c r="G161" s="9">
        <v>1500</v>
      </c>
      <c r="H161" s="9">
        <f t="shared" si="2"/>
        <v>6000</v>
      </c>
    </row>
    <row r="162" spans="1:8" x14ac:dyDescent="0.3">
      <c r="A162" s="6">
        <v>161</v>
      </c>
      <c r="B162" s="7">
        <v>44357</v>
      </c>
      <c r="C162" s="8" t="s">
        <v>20</v>
      </c>
      <c r="D162" s="8" t="s">
        <v>22</v>
      </c>
      <c r="E162" s="8" t="s">
        <v>19</v>
      </c>
      <c r="F162" s="9">
        <v>3</v>
      </c>
      <c r="G162" s="9">
        <v>300</v>
      </c>
      <c r="H162" s="9">
        <f t="shared" si="2"/>
        <v>900</v>
      </c>
    </row>
    <row r="163" spans="1:8" x14ac:dyDescent="0.3">
      <c r="A163" s="6">
        <v>162</v>
      </c>
      <c r="B163" s="7">
        <v>44358</v>
      </c>
      <c r="C163" s="8" t="s">
        <v>20</v>
      </c>
      <c r="D163" s="8" t="s">
        <v>23</v>
      </c>
      <c r="E163" s="8" t="s">
        <v>21</v>
      </c>
      <c r="F163" s="9">
        <v>2</v>
      </c>
      <c r="G163" s="9">
        <v>190</v>
      </c>
      <c r="H163" s="9">
        <f t="shared" si="2"/>
        <v>380</v>
      </c>
    </row>
    <row r="164" spans="1:8" x14ac:dyDescent="0.3">
      <c r="A164" s="6">
        <v>163</v>
      </c>
      <c r="B164" s="7">
        <v>44359</v>
      </c>
      <c r="C164" s="8" t="s">
        <v>8</v>
      </c>
      <c r="D164" s="8" t="s">
        <v>9</v>
      </c>
      <c r="E164" s="8" t="s">
        <v>10</v>
      </c>
      <c r="F164" s="9">
        <v>2</v>
      </c>
      <c r="G164" s="9">
        <v>210</v>
      </c>
      <c r="H164" s="9">
        <f t="shared" si="2"/>
        <v>420</v>
      </c>
    </row>
    <row r="165" spans="1:8" x14ac:dyDescent="0.3">
      <c r="A165" s="6">
        <v>164</v>
      </c>
      <c r="B165" s="7">
        <v>44360</v>
      </c>
      <c r="C165" s="8" t="s">
        <v>11</v>
      </c>
      <c r="D165" s="8" t="s">
        <v>12</v>
      </c>
      <c r="E165" s="8" t="s">
        <v>13</v>
      </c>
      <c r="F165" s="9">
        <v>7</v>
      </c>
      <c r="G165" s="9">
        <v>2100</v>
      </c>
      <c r="H165" s="9">
        <f t="shared" si="2"/>
        <v>14700</v>
      </c>
    </row>
    <row r="166" spans="1:8" x14ac:dyDescent="0.3">
      <c r="A166" s="6">
        <v>165</v>
      </c>
      <c r="B166" s="7">
        <v>44361</v>
      </c>
      <c r="C166" s="8" t="s">
        <v>14</v>
      </c>
      <c r="D166" s="8" t="s">
        <v>9</v>
      </c>
      <c r="E166" s="8" t="s">
        <v>15</v>
      </c>
      <c r="F166" s="9">
        <v>6</v>
      </c>
      <c r="G166" s="9">
        <v>1200</v>
      </c>
      <c r="H166" s="9">
        <f t="shared" si="2"/>
        <v>7200</v>
      </c>
    </row>
    <row r="167" spans="1:8" x14ac:dyDescent="0.3">
      <c r="A167" s="6">
        <v>166</v>
      </c>
      <c r="B167" s="7">
        <v>44362</v>
      </c>
      <c r="C167" s="8" t="s">
        <v>16</v>
      </c>
      <c r="D167" s="8" t="s">
        <v>12</v>
      </c>
      <c r="E167" s="8" t="s">
        <v>17</v>
      </c>
      <c r="F167" s="9">
        <v>5</v>
      </c>
      <c r="G167" s="9">
        <v>1500</v>
      </c>
      <c r="H167" s="9">
        <f t="shared" si="2"/>
        <v>7500</v>
      </c>
    </row>
    <row r="168" spans="1:8" x14ac:dyDescent="0.3">
      <c r="A168" s="6">
        <v>167</v>
      </c>
      <c r="B168" s="7">
        <v>44363</v>
      </c>
      <c r="C168" s="8" t="s">
        <v>18</v>
      </c>
      <c r="D168" s="8" t="s">
        <v>9</v>
      </c>
      <c r="E168" s="8" t="s">
        <v>19</v>
      </c>
      <c r="F168" s="9">
        <v>4</v>
      </c>
      <c r="G168" s="9">
        <v>300</v>
      </c>
      <c r="H168" s="9">
        <f t="shared" si="2"/>
        <v>1200</v>
      </c>
    </row>
    <row r="169" spans="1:8" x14ac:dyDescent="0.3">
      <c r="A169" s="6">
        <v>168</v>
      </c>
      <c r="B169" s="7">
        <v>44364</v>
      </c>
      <c r="C169" s="8" t="s">
        <v>20</v>
      </c>
      <c r="D169" s="8" t="s">
        <v>9</v>
      </c>
      <c r="E169" s="8" t="s">
        <v>21</v>
      </c>
      <c r="F169" s="9">
        <v>3</v>
      </c>
      <c r="G169" s="9">
        <v>190</v>
      </c>
      <c r="H169" s="9">
        <f t="shared" si="2"/>
        <v>570</v>
      </c>
    </row>
    <row r="170" spans="1:8" x14ac:dyDescent="0.3">
      <c r="A170" s="6">
        <v>169</v>
      </c>
      <c r="B170" s="7">
        <v>44365</v>
      </c>
      <c r="C170" s="8" t="s">
        <v>8</v>
      </c>
      <c r="D170" s="8" t="s">
        <v>9</v>
      </c>
      <c r="E170" s="8" t="s">
        <v>10</v>
      </c>
      <c r="F170" s="9">
        <v>2</v>
      </c>
      <c r="G170" s="9">
        <v>210</v>
      </c>
      <c r="H170" s="9">
        <f t="shared" si="2"/>
        <v>420</v>
      </c>
    </row>
    <row r="171" spans="1:8" x14ac:dyDescent="0.3">
      <c r="A171" s="6">
        <v>170</v>
      </c>
      <c r="B171" s="7">
        <v>44366</v>
      </c>
      <c r="C171" s="8" t="s">
        <v>11</v>
      </c>
      <c r="D171" s="8" t="s">
        <v>12</v>
      </c>
      <c r="E171" s="8" t="s">
        <v>15</v>
      </c>
      <c r="F171" s="9">
        <v>7</v>
      </c>
      <c r="G171" s="9">
        <v>2100</v>
      </c>
      <c r="H171" s="9">
        <f t="shared" si="2"/>
        <v>14700</v>
      </c>
    </row>
    <row r="172" spans="1:8" x14ac:dyDescent="0.3">
      <c r="A172" s="6">
        <v>171</v>
      </c>
      <c r="B172" s="7">
        <v>44367</v>
      </c>
      <c r="C172" s="8" t="s">
        <v>14</v>
      </c>
      <c r="D172" s="8" t="s">
        <v>12</v>
      </c>
      <c r="E172" s="8" t="s">
        <v>17</v>
      </c>
      <c r="F172" s="9">
        <v>6</v>
      </c>
      <c r="G172" s="9">
        <v>1200</v>
      </c>
      <c r="H172" s="9">
        <f t="shared" si="2"/>
        <v>7200</v>
      </c>
    </row>
    <row r="173" spans="1:8" x14ac:dyDescent="0.3">
      <c r="A173" s="6">
        <v>172</v>
      </c>
      <c r="B173" s="7">
        <v>44368</v>
      </c>
      <c r="C173" s="8" t="s">
        <v>16</v>
      </c>
      <c r="D173" s="8" t="s">
        <v>9</v>
      </c>
      <c r="E173" s="8" t="s">
        <v>19</v>
      </c>
      <c r="F173" s="9">
        <v>5</v>
      </c>
      <c r="G173" s="9">
        <v>300</v>
      </c>
      <c r="H173" s="9">
        <f t="shared" si="2"/>
        <v>1500</v>
      </c>
    </row>
    <row r="174" spans="1:8" x14ac:dyDescent="0.3">
      <c r="A174" s="6">
        <v>173</v>
      </c>
      <c r="B174" s="7">
        <v>44369</v>
      </c>
      <c r="C174" s="8" t="s">
        <v>18</v>
      </c>
      <c r="D174" s="8" t="s">
        <v>9</v>
      </c>
      <c r="E174" s="8" t="s">
        <v>21</v>
      </c>
      <c r="F174" s="9">
        <v>4</v>
      </c>
      <c r="G174" s="9">
        <v>200</v>
      </c>
      <c r="H174" s="9">
        <f t="shared" si="2"/>
        <v>800</v>
      </c>
    </row>
    <row r="175" spans="1:8" x14ac:dyDescent="0.3">
      <c r="A175" s="6">
        <v>174</v>
      </c>
      <c r="B175" s="7">
        <v>44370</v>
      </c>
      <c r="C175" s="8" t="s">
        <v>20</v>
      </c>
      <c r="D175" s="8" t="s">
        <v>12</v>
      </c>
      <c r="E175" s="8" t="s">
        <v>10</v>
      </c>
      <c r="F175" s="9">
        <v>3</v>
      </c>
      <c r="G175" s="9">
        <v>190</v>
      </c>
      <c r="H175" s="9">
        <f t="shared" si="2"/>
        <v>570</v>
      </c>
    </row>
    <row r="176" spans="1:8" x14ac:dyDescent="0.3">
      <c r="A176" s="6">
        <v>175</v>
      </c>
      <c r="B176" s="7">
        <v>44371</v>
      </c>
      <c r="C176" s="8" t="s">
        <v>20</v>
      </c>
      <c r="D176" s="8" t="s">
        <v>9</v>
      </c>
      <c r="E176" s="8" t="s">
        <v>13</v>
      </c>
      <c r="F176" s="9">
        <v>2</v>
      </c>
      <c r="G176" s="9">
        <v>2100</v>
      </c>
      <c r="H176" s="9">
        <f t="shared" si="2"/>
        <v>4200</v>
      </c>
    </row>
    <row r="177" spans="1:8" x14ac:dyDescent="0.3">
      <c r="A177" s="6">
        <v>176</v>
      </c>
      <c r="B177" s="7">
        <v>44372</v>
      </c>
      <c r="C177" s="8" t="s">
        <v>8</v>
      </c>
      <c r="D177" s="8" t="s">
        <v>9</v>
      </c>
      <c r="E177" s="8" t="s">
        <v>10</v>
      </c>
      <c r="F177" s="9">
        <v>7</v>
      </c>
      <c r="G177" s="9">
        <v>210</v>
      </c>
      <c r="H177" s="9">
        <f t="shared" si="2"/>
        <v>1470</v>
      </c>
    </row>
    <row r="178" spans="1:8" x14ac:dyDescent="0.3">
      <c r="A178" s="6">
        <v>177</v>
      </c>
      <c r="B178" s="7">
        <v>44373</v>
      </c>
      <c r="C178" s="8" t="s">
        <v>11</v>
      </c>
      <c r="D178" s="8" t="s">
        <v>9</v>
      </c>
      <c r="E178" s="8" t="s">
        <v>10</v>
      </c>
      <c r="F178" s="9">
        <v>3</v>
      </c>
      <c r="G178" s="9">
        <v>190</v>
      </c>
      <c r="H178" s="9">
        <f t="shared" si="2"/>
        <v>570</v>
      </c>
    </row>
    <row r="179" spans="1:8" x14ac:dyDescent="0.3">
      <c r="A179" s="6">
        <v>178</v>
      </c>
      <c r="B179" s="7">
        <v>44374</v>
      </c>
      <c r="C179" s="8" t="s">
        <v>14</v>
      </c>
      <c r="D179" s="8" t="s">
        <v>9</v>
      </c>
      <c r="E179" s="8" t="s">
        <v>10</v>
      </c>
      <c r="F179" s="9">
        <v>3</v>
      </c>
      <c r="G179" s="9">
        <v>190</v>
      </c>
      <c r="H179" s="9">
        <f t="shared" si="2"/>
        <v>570</v>
      </c>
    </row>
    <row r="180" spans="1:8" x14ac:dyDescent="0.3">
      <c r="A180" s="6">
        <v>179</v>
      </c>
      <c r="B180" s="7">
        <v>44375</v>
      </c>
      <c r="C180" s="8" t="s">
        <v>16</v>
      </c>
      <c r="D180" s="8" t="s">
        <v>9</v>
      </c>
      <c r="E180" s="8" t="s">
        <v>10</v>
      </c>
      <c r="F180" s="9">
        <v>3</v>
      </c>
      <c r="G180" s="9">
        <v>190</v>
      </c>
      <c r="H180" s="9">
        <f t="shared" si="2"/>
        <v>570</v>
      </c>
    </row>
    <row r="181" spans="1:8" x14ac:dyDescent="0.3">
      <c r="A181" s="6">
        <v>180</v>
      </c>
      <c r="B181" s="7">
        <v>44376</v>
      </c>
      <c r="C181" s="8" t="s">
        <v>18</v>
      </c>
      <c r="D181" s="8" t="s">
        <v>9</v>
      </c>
      <c r="E181" s="8" t="s">
        <v>10</v>
      </c>
      <c r="F181" s="9">
        <v>3</v>
      </c>
      <c r="G181" s="9">
        <v>190</v>
      </c>
      <c r="H181" s="9">
        <f t="shared" si="2"/>
        <v>570</v>
      </c>
    </row>
    <row r="182" spans="1:8" x14ac:dyDescent="0.3">
      <c r="A182" s="6">
        <v>181</v>
      </c>
      <c r="B182" s="7">
        <v>44377</v>
      </c>
      <c r="C182" s="8" t="s">
        <v>20</v>
      </c>
      <c r="D182" s="8" t="s">
        <v>9</v>
      </c>
      <c r="E182" s="8" t="s">
        <v>10</v>
      </c>
      <c r="F182" s="9">
        <v>3</v>
      </c>
      <c r="G182" s="9">
        <v>190</v>
      </c>
      <c r="H182" s="9">
        <f t="shared" si="2"/>
        <v>570</v>
      </c>
    </row>
    <row r="183" spans="1:8" x14ac:dyDescent="0.3">
      <c r="A183" s="6">
        <v>182</v>
      </c>
      <c r="B183" s="7">
        <v>44378</v>
      </c>
      <c r="C183" s="8" t="s">
        <v>8</v>
      </c>
      <c r="D183" s="8" t="s">
        <v>9</v>
      </c>
      <c r="E183" s="8" t="s">
        <v>10</v>
      </c>
      <c r="F183" s="9">
        <v>3</v>
      </c>
      <c r="G183" s="9">
        <v>190</v>
      </c>
      <c r="H183" s="9">
        <f t="shared" si="2"/>
        <v>570</v>
      </c>
    </row>
    <row r="184" spans="1:8" x14ac:dyDescent="0.3">
      <c r="A184" s="6">
        <v>183</v>
      </c>
      <c r="B184" s="7">
        <v>44379</v>
      </c>
      <c r="C184" s="8" t="s">
        <v>11</v>
      </c>
      <c r="D184" s="8" t="s">
        <v>12</v>
      </c>
      <c r="E184" s="8" t="s">
        <v>10</v>
      </c>
      <c r="F184" s="9">
        <v>3</v>
      </c>
      <c r="G184" s="9">
        <v>190</v>
      </c>
      <c r="H184" s="9">
        <f t="shared" si="2"/>
        <v>570</v>
      </c>
    </row>
    <row r="185" spans="1:8" x14ac:dyDescent="0.3">
      <c r="A185" s="6">
        <v>184</v>
      </c>
      <c r="B185" s="7">
        <v>44380</v>
      </c>
      <c r="C185" s="8" t="s">
        <v>14</v>
      </c>
      <c r="D185" s="8" t="s">
        <v>9</v>
      </c>
      <c r="E185" s="8" t="s">
        <v>15</v>
      </c>
      <c r="F185" s="9">
        <v>5</v>
      </c>
      <c r="G185" s="9">
        <v>1200</v>
      </c>
      <c r="H185" s="9">
        <f t="shared" si="2"/>
        <v>6000</v>
      </c>
    </row>
    <row r="186" spans="1:8" x14ac:dyDescent="0.3">
      <c r="A186" s="6">
        <v>185</v>
      </c>
      <c r="B186" s="7">
        <v>44381</v>
      </c>
      <c r="C186" s="8" t="s">
        <v>16</v>
      </c>
      <c r="D186" s="8" t="s">
        <v>12</v>
      </c>
      <c r="E186" s="8" t="s">
        <v>17</v>
      </c>
      <c r="F186" s="9">
        <v>4</v>
      </c>
      <c r="G186" s="9">
        <v>1500</v>
      </c>
      <c r="H186" s="9">
        <f t="shared" si="2"/>
        <v>6000</v>
      </c>
    </row>
    <row r="187" spans="1:8" x14ac:dyDescent="0.3">
      <c r="A187" s="6">
        <v>186</v>
      </c>
      <c r="B187" s="7">
        <v>44382</v>
      </c>
      <c r="C187" s="8" t="s">
        <v>18</v>
      </c>
      <c r="D187" s="8" t="s">
        <v>9</v>
      </c>
      <c r="E187" s="8" t="s">
        <v>19</v>
      </c>
      <c r="F187" s="9">
        <v>3</v>
      </c>
      <c r="G187" s="9">
        <v>300</v>
      </c>
      <c r="H187" s="9">
        <f t="shared" si="2"/>
        <v>900</v>
      </c>
    </row>
    <row r="188" spans="1:8" x14ac:dyDescent="0.3">
      <c r="A188" s="6">
        <v>187</v>
      </c>
      <c r="B188" s="7">
        <v>44383</v>
      </c>
      <c r="C188" s="8" t="s">
        <v>20</v>
      </c>
      <c r="D188" s="8" t="s">
        <v>9</v>
      </c>
      <c r="E188" s="8" t="s">
        <v>21</v>
      </c>
      <c r="F188" s="9">
        <v>2</v>
      </c>
      <c r="G188" s="9">
        <v>190</v>
      </c>
      <c r="H188" s="9">
        <f t="shared" si="2"/>
        <v>380</v>
      </c>
    </row>
    <row r="189" spans="1:8" x14ac:dyDescent="0.3">
      <c r="A189" s="6">
        <v>188</v>
      </c>
      <c r="B189" s="7">
        <v>44384</v>
      </c>
      <c r="C189" s="8" t="s">
        <v>20</v>
      </c>
      <c r="D189" s="8" t="s">
        <v>9</v>
      </c>
      <c r="E189" s="8" t="s">
        <v>10</v>
      </c>
      <c r="F189" s="9">
        <v>2</v>
      </c>
      <c r="G189" s="9">
        <v>210</v>
      </c>
      <c r="H189" s="9">
        <f t="shared" si="2"/>
        <v>420</v>
      </c>
    </row>
    <row r="190" spans="1:8" x14ac:dyDescent="0.3">
      <c r="A190" s="6">
        <v>189</v>
      </c>
      <c r="B190" s="7">
        <v>44385</v>
      </c>
      <c r="C190" s="8" t="s">
        <v>8</v>
      </c>
      <c r="D190" s="8" t="s">
        <v>9</v>
      </c>
      <c r="E190" s="8" t="s">
        <v>13</v>
      </c>
      <c r="F190" s="9">
        <v>7</v>
      </c>
      <c r="G190" s="9">
        <v>2100</v>
      </c>
      <c r="H190" s="9">
        <f t="shared" si="2"/>
        <v>14700</v>
      </c>
    </row>
    <row r="191" spans="1:8" x14ac:dyDescent="0.3">
      <c r="A191" s="6">
        <v>190</v>
      </c>
      <c r="B191" s="7">
        <v>44386</v>
      </c>
      <c r="C191" s="8" t="s">
        <v>8</v>
      </c>
      <c r="D191" s="8" t="s">
        <v>12</v>
      </c>
      <c r="E191" s="8" t="s">
        <v>15</v>
      </c>
      <c r="F191" s="9">
        <v>6</v>
      </c>
      <c r="G191" s="9">
        <v>1200</v>
      </c>
      <c r="H191" s="9">
        <f t="shared" si="2"/>
        <v>7200</v>
      </c>
    </row>
    <row r="192" spans="1:8" x14ac:dyDescent="0.3">
      <c r="A192" s="6">
        <v>191</v>
      </c>
      <c r="B192" s="7">
        <v>44387</v>
      </c>
      <c r="C192" s="8" t="s">
        <v>8</v>
      </c>
      <c r="D192" s="8" t="s">
        <v>22</v>
      </c>
      <c r="E192" s="8" t="s">
        <v>17</v>
      </c>
      <c r="F192" s="9">
        <v>5</v>
      </c>
      <c r="G192" s="9">
        <v>1500</v>
      </c>
      <c r="H192" s="9">
        <f t="shared" si="2"/>
        <v>7500</v>
      </c>
    </row>
    <row r="193" spans="1:8" x14ac:dyDescent="0.3">
      <c r="A193" s="6">
        <v>192</v>
      </c>
      <c r="B193" s="7">
        <v>44388</v>
      </c>
      <c r="C193" s="8" t="s">
        <v>8</v>
      </c>
      <c r="D193" s="8" t="s">
        <v>23</v>
      </c>
      <c r="E193" s="8" t="s">
        <v>19</v>
      </c>
      <c r="F193" s="9">
        <v>4</v>
      </c>
      <c r="G193" s="9">
        <v>300</v>
      </c>
      <c r="H193" s="9">
        <f t="shared" si="2"/>
        <v>1200</v>
      </c>
    </row>
    <row r="194" spans="1:8" x14ac:dyDescent="0.3">
      <c r="A194" s="6">
        <v>193</v>
      </c>
      <c r="B194" s="7">
        <v>44389</v>
      </c>
      <c r="C194" s="8" t="s">
        <v>8</v>
      </c>
      <c r="D194" s="8" t="s">
        <v>9</v>
      </c>
      <c r="E194" s="8" t="s">
        <v>21</v>
      </c>
      <c r="F194" s="9">
        <v>3</v>
      </c>
      <c r="G194" s="9">
        <v>190</v>
      </c>
      <c r="H194" s="9">
        <f t="shared" si="2"/>
        <v>570</v>
      </c>
    </row>
    <row r="195" spans="1:8" x14ac:dyDescent="0.3">
      <c r="A195" s="6">
        <v>194</v>
      </c>
      <c r="B195" s="7">
        <v>44390</v>
      </c>
      <c r="C195" s="8" t="s">
        <v>8</v>
      </c>
      <c r="D195" s="8" t="s">
        <v>12</v>
      </c>
      <c r="E195" s="8" t="s">
        <v>10</v>
      </c>
      <c r="F195" s="9">
        <v>2</v>
      </c>
      <c r="G195" s="9">
        <v>210</v>
      </c>
      <c r="H195" s="9">
        <f t="shared" ref="H195:H258" si="3">F195*G195</f>
        <v>420</v>
      </c>
    </row>
    <row r="196" spans="1:8" x14ac:dyDescent="0.3">
      <c r="A196" s="6">
        <v>195</v>
      </c>
      <c r="B196" s="7">
        <v>44391</v>
      </c>
      <c r="C196" s="8" t="s">
        <v>8</v>
      </c>
      <c r="D196" s="8" t="s">
        <v>22</v>
      </c>
      <c r="E196" s="8" t="s">
        <v>15</v>
      </c>
      <c r="F196" s="9">
        <v>7</v>
      </c>
      <c r="G196" s="9">
        <v>2100</v>
      </c>
      <c r="H196" s="9">
        <f t="shared" si="3"/>
        <v>14700</v>
      </c>
    </row>
    <row r="197" spans="1:8" x14ac:dyDescent="0.3">
      <c r="A197" s="6">
        <v>196</v>
      </c>
      <c r="B197" s="7">
        <v>44392</v>
      </c>
      <c r="C197" s="8" t="s">
        <v>8</v>
      </c>
      <c r="D197" s="8" t="s">
        <v>23</v>
      </c>
      <c r="E197" s="8" t="s">
        <v>17</v>
      </c>
      <c r="F197" s="9">
        <v>6</v>
      </c>
      <c r="G197" s="9">
        <v>1200</v>
      </c>
      <c r="H197" s="9">
        <f t="shared" si="3"/>
        <v>7200</v>
      </c>
    </row>
    <row r="198" spans="1:8" x14ac:dyDescent="0.3">
      <c r="A198" s="6">
        <v>197</v>
      </c>
      <c r="B198" s="7">
        <v>44393</v>
      </c>
      <c r="C198" s="8" t="s">
        <v>11</v>
      </c>
      <c r="D198" s="8" t="s">
        <v>12</v>
      </c>
      <c r="E198" s="8" t="s">
        <v>19</v>
      </c>
      <c r="F198" s="9">
        <v>5</v>
      </c>
      <c r="G198" s="9">
        <v>300</v>
      </c>
      <c r="H198" s="9">
        <f t="shared" si="3"/>
        <v>1500</v>
      </c>
    </row>
    <row r="199" spans="1:8" x14ac:dyDescent="0.3">
      <c r="A199" s="6">
        <v>198</v>
      </c>
      <c r="B199" s="7">
        <v>44394</v>
      </c>
      <c r="C199" s="8" t="s">
        <v>11</v>
      </c>
      <c r="D199" s="8" t="s">
        <v>9</v>
      </c>
      <c r="E199" s="8" t="s">
        <v>21</v>
      </c>
      <c r="F199" s="9">
        <v>4</v>
      </c>
      <c r="G199" s="9">
        <v>200</v>
      </c>
      <c r="H199" s="9">
        <f t="shared" si="3"/>
        <v>800</v>
      </c>
    </row>
    <row r="200" spans="1:8" x14ac:dyDescent="0.3">
      <c r="A200" s="6">
        <v>199</v>
      </c>
      <c r="B200" s="7">
        <v>44395</v>
      </c>
      <c r="C200" s="8" t="s">
        <v>11</v>
      </c>
      <c r="D200" s="8" t="s">
        <v>22</v>
      </c>
      <c r="E200" s="8" t="s">
        <v>10</v>
      </c>
      <c r="F200" s="9">
        <v>3</v>
      </c>
      <c r="G200" s="9">
        <v>190</v>
      </c>
      <c r="H200" s="9">
        <f t="shared" si="3"/>
        <v>570</v>
      </c>
    </row>
    <row r="201" spans="1:8" x14ac:dyDescent="0.3">
      <c r="A201" s="6">
        <v>200</v>
      </c>
      <c r="B201" s="7">
        <v>44396</v>
      </c>
      <c r="C201" s="8" t="s">
        <v>11</v>
      </c>
      <c r="D201" s="8" t="s">
        <v>23</v>
      </c>
      <c r="E201" s="8" t="s">
        <v>13</v>
      </c>
      <c r="F201" s="9">
        <v>2</v>
      </c>
      <c r="G201" s="9">
        <v>2100</v>
      </c>
      <c r="H201" s="9">
        <f t="shared" si="3"/>
        <v>4200</v>
      </c>
    </row>
    <row r="202" spans="1:8" x14ac:dyDescent="0.3">
      <c r="A202" s="6">
        <v>201</v>
      </c>
      <c r="B202" s="7">
        <v>44397</v>
      </c>
      <c r="C202" s="8" t="s">
        <v>11</v>
      </c>
      <c r="D202" s="8" t="s">
        <v>12</v>
      </c>
      <c r="E202" s="8" t="s">
        <v>10</v>
      </c>
      <c r="F202" s="9">
        <v>7</v>
      </c>
      <c r="G202" s="9">
        <v>210</v>
      </c>
      <c r="H202" s="9">
        <f t="shared" si="3"/>
        <v>1470</v>
      </c>
    </row>
    <row r="203" spans="1:8" x14ac:dyDescent="0.3">
      <c r="A203" s="6">
        <v>202</v>
      </c>
      <c r="B203" s="7">
        <v>44398</v>
      </c>
      <c r="C203" s="8" t="s">
        <v>11</v>
      </c>
      <c r="D203" s="8" t="s">
        <v>9</v>
      </c>
      <c r="E203" s="8" t="s">
        <v>13</v>
      </c>
      <c r="F203" s="9">
        <v>6</v>
      </c>
      <c r="G203" s="9">
        <v>2100</v>
      </c>
      <c r="H203" s="9">
        <f t="shared" si="3"/>
        <v>12600</v>
      </c>
    </row>
    <row r="204" spans="1:8" x14ac:dyDescent="0.3">
      <c r="A204" s="6">
        <v>203</v>
      </c>
      <c r="B204" s="7">
        <v>44399</v>
      </c>
      <c r="C204" s="8" t="s">
        <v>11</v>
      </c>
      <c r="D204" s="8" t="s">
        <v>22</v>
      </c>
      <c r="E204" s="8" t="s">
        <v>15</v>
      </c>
      <c r="F204" s="9">
        <v>5</v>
      </c>
      <c r="G204" s="9">
        <v>1200</v>
      </c>
      <c r="H204" s="9">
        <f t="shared" si="3"/>
        <v>6000</v>
      </c>
    </row>
    <row r="205" spans="1:8" x14ac:dyDescent="0.3">
      <c r="A205" s="6">
        <v>204</v>
      </c>
      <c r="B205" s="7">
        <v>44400</v>
      </c>
      <c r="C205" s="8" t="s">
        <v>11</v>
      </c>
      <c r="D205" s="8" t="s">
        <v>23</v>
      </c>
      <c r="E205" s="8" t="s">
        <v>17</v>
      </c>
      <c r="F205" s="9">
        <v>4</v>
      </c>
      <c r="G205" s="9">
        <v>1500</v>
      </c>
      <c r="H205" s="9">
        <f t="shared" si="3"/>
        <v>6000</v>
      </c>
    </row>
    <row r="206" spans="1:8" x14ac:dyDescent="0.3">
      <c r="A206" s="6">
        <v>205</v>
      </c>
      <c r="B206" s="7">
        <v>44401</v>
      </c>
      <c r="C206" s="8" t="s">
        <v>14</v>
      </c>
      <c r="D206" s="8" t="s">
        <v>23</v>
      </c>
      <c r="E206" s="8" t="s">
        <v>19</v>
      </c>
      <c r="F206" s="9">
        <v>3</v>
      </c>
      <c r="G206" s="9">
        <v>300</v>
      </c>
      <c r="H206" s="9">
        <f t="shared" si="3"/>
        <v>900</v>
      </c>
    </row>
    <row r="207" spans="1:8" x14ac:dyDescent="0.3">
      <c r="A207" s="6">
        <v>206</v>
      </c>
      <c r="B207" s="7">
        <v>44402</v>
      </c>
      <c r="C207" s="8" t="s">
        <v>16</v>
      </c>
      <c r="D207" s="8" t="s">
        <v>23</v>
      </c>
      <c r="E207" s="8" t="s">
        <v>21</v>
      </c>
      <c r="F207" s="9">
        <v>2</v>
      </c>
      <c r="G207" s="9">
        <v>190</v>
      </c>
      <c r="H207" s="9">
        <f t="shared" si="3"/>
        <v>380</v>
      </c>
    </row>
    <row r="208" spans="1:8" x14ac:dyDescent="0.3">
      <c r="A208" s="6">
        <v>207</v>
      </c>
      <c r="B208" s="7">
        <v>44403</v>
      </c>
      <c r="C208" s="8" t="s">
        <v>18</v>
      </c>
      <c r="D208" s="8" t="s">
        <v>23</v>
      </c>
      <c r="E208" s="8" t="s">
        <v>10</v>
      </c>
      <c r="F208" s="9">
        <v>7</v>
      </c>
      <c r="G208" s="9">
        <v>210</v>
      </c>
      <c r="H208" s="9">
        <f t="shared" si="3"/>
        <v>1470</v>
      </c>
    </row>
    <row r="209" spans="1:8" x14ac:dyDescent="0.3">
      <c r="A209" s="6">
        <v>208</v>
      </c>
      <c r="B209" s="7">
        <v>44404</v>
      </c>
      <c r="C209" s="8" t="s">
        <v>20</v>
      </c>
      <c r="D209" s="8" t="s">
        <v>23</v>
      </c>
      <c r="E209" s="8" t="s">
        <v>13</v>
      </c>
      <c r="F209" s="9">
        <v>6</v>
      </c>
      <c r="G209" s="9">
        <v>2100</v>
      </c>
      <c r="H209" s="9">
        <f t="shared" si="3"/>
        <v>12600</v>
      </c>
    </row>
    <row r="210" spans="1:8" x14ac:dyDescent="0.3">
      <c r="A210" s="6">
        <v>209</v>
      </c>
      <c r="B210" s="7">
        <v>44405</v>
      </c>
      <c r="C210" s="8" t="s">
        <v>20</v>
      </c>
      <c r="D210" s="8" t="s">
        <v>9</v>
      </c>
      <c r="E210" s="8" t="s">
        <v>15</v>
      </c>
      <c r="F210" s="9">
        <v>5</v>
      </c>
      <c r="G210" s="9">
        <v>1200</v>
      </c>
      <c r="H210" s="9">
        <f t="shared" si="3"/>
        <v>6000</v>
      </c>
    </row>
    <row r="211" spans="1:8" x14ac:dyDescent="0.3">
      <c r="A211" s="6">
        <v>210</v>
      </c>
      <c r="B211" s="7">
        <v>44406</v>
      </c>
      <c r="C211" s="8" t="s">
        <v>20</v>
      </c>
      <c r="D211" s="8" t="s">
        <v>12</v>
      </c>
      <c r="E211" s="8" t="s">
        <v>17</v>
      </c>
      <c r="F211" s="9">
        <v>4</v>
      </c>
      <c r="G211" s="9">
        <v>1500</v>
      </c>
      <c r="H211" s="9">
        <f t="shared" si="3"/>
        <v>6000</v>
      </c>
    </row>
    <row r="212" spans="1:8" x14ac:dyDescent="0.3">
      <c r="A212" s="6">
        <v>211</v>
      </c>
      <c r="B212" s="7">
        <v>44407</v>
      </c>
      <c r="C212" s="8" t="s">
        <v>20</v>
      </c>
      <c r="D212" s="8" t="s">
        <v>22</v>
      </c>
      <c r="E212" s="8" t="s">
        <v>19</v>
      </c>
      <c r="F212" s="9">
        <v>3</v>
      </c>
      <c r="G212" s="9">
        <v>300</v>
      </c>
      <c r="H212" s="9">
        <f t="shared" si="3"/>
        <v>900</v>
      </c>
    </row>
    <row r="213" spans="1:8" x14ac:dyDescent="0.3">
      <c r="A213" s="6">
        <v>212</v>
      </c>
      <c r="B213" s="7">
        <v>44408</v>
      </c>
      <c r="C213" s="8" t="s">
        <v>20</v>
      </c>
      <c r="D213" s="8" t="s">
        <v>23</v>
      </c>
      <c r="E213" s="8" t="s">
        <v>21</v>
      </c>
      <c r="F213" s="9">
        <v>2</v>
      </c>
      <c r="G213" s="9">
        <v>190</v>
      </c>
      <c r="H213" s="9">
        <f t="shared" si="3"/>
        <v>380</v>
      </c>
    </row>
    <row r="214" spans="1:8" x14ac:dyDescent="0.3">
      <c r="A214" s="6">
        <v>213</v>
      </c>
      <c r="B214" s="7">
        <v>44409</v>
      </c>
      <c r="C214" s="8" t="s">
        <v>20</v>
      </c>
      <c r="D214" s="8" t="s">
        <v>9</v>
      </c>
      <c r="E214" s="8" t="s">
        <v>10</v>
      </c>
      <c r="F214" s="9">
        <v>2</v>
      </c>
      <c r="G214" s="9">
        <v>210</v>
      </c>
      <c r="H214" s="9">
        <f t="shared" si="3"/>
        <v>420</v>
      </c>
    </row>
    <row r="215" spans="1:8" x14ac:dyDescent="0.3">
      <c r="A215" s="6">
        <v>214</v>
      </c>
      <c r="B215" s="7">
        <v>44410</v>
      </c>
      <c r="C215" s="8" t="s">
        <v>20</v>
      </c>
      <c r="D215" s="8" t="s">
        <v>12</v>
      </c>
      <c r="E215" s="8" t="s">
        <v>13</v>
      </c>
      <c r="F215" s="9">
        <v>7</v>
      </c>
      <c r="G215" s="9">
        <v>2100</v>
      </c>
      <c r="H215" s="9">
        <f t="shared" si="3"/>
        <v>14700</v>
      </c>
    </row>
    <row r="216" spans="1:8" x14ac:dyDescent="0.3">
      <c r="A216" s="6">
        <v>215</v>
      </c>
      <c r="B216" s="7">
        <v>44411</v>
      </c>
      <c r="C216" s="8" t="s">
        <v>20</v>
      </c>
      <c r="D216" s="8" t="s">
        <v>22</v>
      </c>
      <c r="E216" s="8" t="s">
        <v>15</v>
      </c>
      <c r="F216" s="9">
        <v>6</v>
      </c>
      <c r="G216" s="9">
        <v>1200</v>
      </c>
      <c r="H216" s="9">
        <f t="shared" si="3"/>
        <v>7200</v>
      </c>
    </row>
    <row r="217" spans="1:8" x14ac:dyDescent="0.3">
      <c r="A217" s="6">
        <v>216</v>
      </c>
      <c r="B217" s="7">
        <v>44412</v>
      </c>
      <c r="C217" s="8" t="s">
        <v>20</v>
      </c>
      <c r="D217" s="8" t="s">
        <v>23</v>
      </c>
      <c r="E217" s="8" t="s">
        <v>17</v>
      </c>
      <c r="F217" s="9">
        <v>5</v>
      </c>
      <c r="G217" s="9">
        <v>1500</v>
      </c>
      <c r="H217" s="9">
        <f t="shared" si="3"/>
        <v>7500</v>
      </c>
    </row>
    <row r="218" spans="1:8" x14ac:dyDescent="0.3">
      <c r="A218" s="6">
        <v>217</v>
      </c>
      <c r="B218" s="7">
        <v>44413</v>
      </c>
      <c r="C218" s="8" t="s">
        <v>8</v>
      </c>
      <c r="D218" s="8" t="s">
        <v>9</v>
      </c>
      <c r="E218" s="8" t="s">
        <v>19</v>
      </c>
      <c r="F218" s="9">
        <v>4</v>
      </c>
      <c r="G218" s="9">
        <v>300</v>
      </c>
      <c r="H218" s="9">
        <f t="shared" si="3"/>
        <v>1200</v>
      </c>
    </row>
    <row r="219" spans="1:8" x14ac:dyDescent="0.3">
      <c r="A219" s="6">
        <v>218</v>
      </c>
      <c r="B219" s="7">
        <v>44414</v>
      </c>
      <c r="C219" s="8" t="s">
        <v>11</v>
      </c>
      <c r="D219" s="8" t="s">
        <v>12</v>
      </c>
      <c r="E219" s="8" t="s">
        <v>21</v>
      </c>
      <c r="F219" s="9">
        <v>3</v>
      </c>
      <c r="G219" s="9">
        <v>190</v>
      </c>
      <c r="H219" s="9">
        <f t="shared" si="3"/>
        <v>570</v>
      </c>
    </row>
    <row r="220" spans="1:8" x14ac:dyDescent="0.3">
      <c r="A220" s="6">
        <v>219</v>
      </c>
      <c r="B220" s="7">
        <v>44415</v>
      </c>
      <c r="C220" s="8" t="s">
        <v>14</v>
      </c>
      <c r="D220" s="8" t="s">
        <v>9</v>
      </c>
      <c r="E220" s="8" t="s">
        <v>10</v>
      </c>
      <c r="F220" s="9">
        <v>2</v>
      </c>
      <c r="G220" s="9">
        <v>210</v>
      </c>
      <c r="H220" s="9">
        <f t="shared" si="3"/>
        <v>420</v>
      </c>
    </row>
    <row r="221" spans="1:8" x14ac:dyDescent="0.3">
      <c r="A221" s="6">
        <v>220</v>
      </c>
      <c r="B221" s="7">
        <v>44416</v>
      </c>
      <c r="C221" s="8" t="s">
        <v>16</v>
      </c>
      <c r="D221" s="8" t="s">
        <v>12</v>
      </c>
      <c r="E221" s="8" t="s">
        <v>15</v>
      </c>
      <c r="F221" s="9">
        <v>7</v>
      </c>
      <c r="G221" s="9">
        <v>2100</v>
      </c>
      <c r="H221" s="9">
        <f t="shared" si="3"/>
        <v>14700</v>
      </c>
    </row>
    <row r="222" spans="1:8" x14ac:dyDescent="0.3">
      <c r="A222" s="6">
        <v>221</v>
      </c>
      <c r="B222" s="7">
        <v>44417</v>
      </c>
      <c r="C222" s="8" t="s">
        <v>18</v>
      </c>
      <c r="D222" s="8" t="s">
        <v>9</v>
      </c>
      <c r="E222" s="8" t="s">
        <v>17</v>
      </c>
      <c r="F222" s="9">
        <v>6</v>
      </c>
      <c r="G222" s="9">
        <v>1200</v>
      </c>
      <c r="H222" s="9">
        <f t="shared" si="3"/>
        <v>7200</v>
      </c>
    </row>
    <row r="223" spans="1:8" x14ac:dyDescent="0.3">
      <c r="A223" s="6">
        <v>222</v>
      </c>
      <c r="B223" s="7">
        <v>44418</v>
      </c>
      <c r="C223" s="8" t="s">
        <v>20</v>
      </c>
      <c r="D223" s="8" t="s">
        <v>9</v>
      </c>
      <c r="E223" s="8" t="s">
        <v>19</v>
      </c>
      <c r="F223" s="9">
        <v>5</v>
      </c>
      <c r="G223" s="9">
        <v>300</v>
      </c>
      <c r="H223" s="9">
        <f t="shared" si="3"/>
        <v>1500</v>
      </c>
    </row>
    <row r="224" spans="1:8" x14ac:dyDescent="0.3">
      <c r="A224" s="6">
        <v>223</v>
      </c>
      <c r="B224" s="7">
        <v>44419</v>
      </c>
      <c r="C224" s="8" t="s">
        <v>8</v>
      </c>
      <c r="D224" s="8" t="s">
        <v>9</v>
      </c>
      <c r="E224" s="8" t="s">
        <v>21</v>
      </c>
      <c r="F224" s="9">
        <v>4</v>
      </c>
      <c r="G224" s="9">
        <v>200</v>
      </c>
      <c r="H224" s="9">
        <f t="shared" si="3"/>
        <v>800</v>
      </c>
    </row>
    <row r="225" spans="1:8" x14ac:dyDescent="0.3">
      <c r="A225" s="6">
        <v>224</v>
      </c>
      <c r="B225" s="7">
        <v>44420</v>
      </c>
      <c r="C225" s="8" t="s">
        <v>11</v>
      </c>
      <c r="D225" s="8" t="s">
        <v>12</v>
      </c>
      <c r="E225" s="8" t="s">
        <v>10</v>
      </c>
      <c r="F225" s="9">
        <v>3</v>
      </c>
      <c r="G225" s="9">
        <v>190</v>
      </c>
      <c r="H225" s="9">
        <f t="shared" si="3"/>
        <v>570</v>
      </c>
    </row>
    <row r="226" spans="1:8" x14ac:dyDescent="0.3">
      <c r="A226" s="6">
        <v>225</v>
      </c>
      <c r="B226" s="7">
        <v>44421</v>
      </c>
      <c r="C226" s="8" t="s">
        <v>14</v>
      </c>
      <c r="D226" s="8" t="s">
        <v>12</v>
      </c>
      <c r="E226" s="8" t="s">
        <v>13</v>
      </c>
      <c r="F226" s="9">
        <v>2</v>
      </c>
      <c r="G226" s="9">
        <v>2100</v>
      </c>
      <c r="H226" s="9">
        <f t="shared" si="3"/>
        <v>4200</v>
      </c>
    </row>
    <row r="227" spans="1:8" x14ac:dyDescent="0.3">
      <c r="A227" s="6">
        <v>226</v>
      </c>
      <c r="B227" s="7">
        <v>44422</v>
      </c>
      <c r="C227" s="8" t="s">
        <v>16</v>
      </c>
      <c r="D227" s="8" t="s">
        <v>9</v>
      </c>
      <c r="E227" s="8" t="s">
        <v>10</v>
      </c>
      <c r="F227" s="9">
        <v>7</v>
      </c>
      <c r="G227" s="9">
        <v>210</v>
      </c>
      <c r="H227" s="9">
        <f t="shared" si="3"/>
        <v>1470</v>
      </c>
    </row>
    <row r="228" spans="1:8" x14ac:dyDescent="0.3">
      <c r="A228" s="6">
        <v>227</v>
      </c>
      <c r="B228" s="7">
        <v>44423</v>
      </c>
      <c r="C228" s="8" t="s">
        <v>18</v>
      </c>
      <c r="D228" s="8" t="s">
        <v>9</v>
      </c>
      <c r="E228" s="8" t="s">
        <v>13</v>
      </c>
      <c r="F228" s="9">
        <v>6</v>
      </c>
      <c r="G228" s="9">
        <v>2100</v>
      </c>
      <c r="H228" s="9">
        <f t="shared" si="3"/>
        <v>12600</v>
      </c>
    </row>
    <row r="229" spans="1:8" x14ac:dyDescent="0.3">
      <c r="A229" s="6">
        <v>228</v>
      </c>
      <c r="B229" s="7">
        <v>44424</v>
      </c>
      <c r="C229" s="8" t="s">
        <v>20</v>
      </c>
      <c r="D229" s="8" t="s">
        <v>12</v>
      </c>
      <c r="E229" s="8" t="s">
        <v>15</v>
      </c>
      <c r="F229" s="9">
        <v>5</v>
      </c>
      <c r="G229" s="9">
        <v>1200</v>
      </c>
      <c r="H229" s="9">
        <f t="shared" si="3"/>
        <v>6000</v>
      </c>
    </row>
    <row r="230" spans="1:8" x14ac:dyDescent="0.3">
      <c r="A230" s="6">
        <v>229</v>
      </c>
      <c r="B230" s="7">
        <v>44425</v>
      </c>
      <c r="C230" s="8" t="s">
        <v>20</v>
      </c>
      <c r="D230" s="8" t="s">
        <v>9</v>
      </c>
      <c r="E230" s="8" t="s">
        <v>17</v>
      </c>
      <c r="F230" s="9">
        <v>4</v>
      </c>
      <c r="G230" s="9">
        <v>1500</v>
      </c>
      <c r="H230" s="9">
        <f t="shared" si="3"/>
        <v>6000</v>
      </c>
    </row>
    <row r="231" spans="1:8" x14ac:dyDescent="0.3">
      <c r="A231" s="6">
        <v>230</v>
      </c>
      <c r="B231" s="7">
        <v>44426</v>
      </c>
      <c r="C231" s="8" t="s">
        <v>8</v>
      </c>
      <c r="D231" s="8" t="s">
        <v>9</v>
      </c>
      <c r="E231" s="8" t="s">
        <v>19</v>
      </c>
      <c r="F231" s="9">
        <v>3</v>
      </c>
      <c r="G231" s="9">
        <v>300</v>
      </c>
      <c r="H231" s="9">
        <f t="shared" si="3"/>
        <v>900</v>
      </c>
    </row>
    <row r="232" spans="1:8" x14ac:dyDescent="0.3">
      <c r="A232" s="6">
        <v>231</v>
      </c>
      <c r="B232" s="7">
        <v>44427</v>
      </c>
      <c r="C232" s="8" t="s">
        <v>11</v>
      </c>
      <c r="D232" s="8" t="s">
        <v>9</v>
      </c>
      <c r="E232" s="8" t="s">
        <v>21</v>
      </c>
      <c r="F232" s="9">
        <v>2</v>
      </c>
      <c r="G232" s="9">
        <v>190</v>
      </c>
      <c r="H232" s="9">
        <f t="shared" si="3"/>
        <v>380</v>
      </c>
    </row>
    <row r="233" spans="1:8" x14ac:dyDescent="0.3">
      <c r="A233" s="6">
        <v>232</v>
      </c>
      <c r="B233" s="7">
        <v>44428</v>
      </c>
      <c r="C233" s="8" t="s">
        <v>14</v>
      </c>
      <c r="D233" s="8" t="s">
        <v>9</v>
      </c>
      <c r="E233" s="8" t="s">
        <v>10</v>
      </c>
      <c r="F233" s="9">
        <v>7</v>
      </c>
      <c r="G233" s="9">
        <v>210</v>
      </c>
      <c r="H233" s="9">
        <f t="shared" si="3"/>
        <v>1470</v>
      </c>
    </row>
    <row r="234" spans="1:8" x14ac:dyDescent="0.3">
      <c r="A234" s="6">
        <v>233</v>
      </c>
      <c r="B234" s="7">
        <v>44429</v>
      </c>
      <c r="C234" s="8" t="s">
        <v>16</v>
      </c>
      <c r="D234" s="8" t="s">
        <v>9</v>
      </c>
      <c r="E234" s="8" t="s">
        <v>13</v>
      </c>
      <c r="F234" s="9">
        <v>6</v>
      </c>
      <c r="G234" s="9">
        <v>2100</v>
      </c>
      <c r="H234" s="9">
        <f t="shared" si="3"/>
        <v>12600</v>
      </c>
    </row>
    <row r="235" spans="1:8" x14ac:dyDescent="0.3">
      <c r="A235" s="6">
        <v>234</v>
      </c>
      <c r="B235" s="7">
        <v>44430</v>
      </c>
      <c r="C235" s="8" t="s">
        <v>18</v>
      </c>
      <c r="D235" s="8" t="s">
        <v>9</v>
      </c>
      <c r="E235" s="8" t="s">
        <v>13</v>
      </c>
      <c r="F235" s="9">
        <v>7</v>
      </c>
      <c r="G235" s="9">
        <v>2100</v>
      </c>
      <c r="H235" s="9">
        <f t="shared" si="3"/>
        <v>14700</v>
      </c>
    </row>
    <row r="236" spans="1:8" x14ac:dyDescent="0.3">
      <c r="A236" s="6">
        <v>235</v>
      </c>
      <c r="B236" s="7">
        <v>44431</v>
      </c>
      <c r="C236" s="8" t="s">
        <v>20</v>
      </c>
      <c r="D236" s="8" t="s">
        <v>9</v>
      </c>
      <c r="E236" s="8" t="s">
        <v>17</v>
      </c>
      <c r="F236" s="9">
        <v>4</v>
      </c>
      <c r="G236" s="9">
        <v>1500</v>
      </c>
      <c r="H236" s="9">
        <f t="shared" si="3"/>
        <v>6000</v>
      </c>
    </row>
    <row r="237" spans="1:8" x14ac:dyDescent="0.3">
      <c r="A237" s="6">
        <v>236</v>
      </c>
      <c r="B237" s="7">
        <v>44432</v>
      </c>
      <c r="C237" s="8" t="s">
        <v>8</v>
      </c>
      <c r="D237" s="8" t="s">
        <v>9</v>
      </c>
      <c r="E237" s="8" t="s">
        <v>19</v>
      </c>
      <c r="F237" s="9">
        <v>3</v>
      </c>
      <c r="G237" s="9">
        <v>300</v>
      </c>
      <c r="H237" s="9">
        <f t="shared" si="3"/>
        <v>900</v>
      </c>
    </row>
    <row r="238" spans="1:8" x14ac:dyDescent="0.3">
      <c r="A238" s="6">
        <v>237</v>
      </c>
      <c r="B238" s="7">
        <v>44433</v>
      </c>
      <c r="C238" s="8" t="s">
        <v>11</v>
      </c>
      <c r="D238" s="8" t="s">
        <v>12</v>
      </c>
      <c r="E238" s="8" t="s">
        <v>21</v>
      </c>
      <c r="F238" s="9">
        <v>2</v>
      </c>
      <c r="G238" s="9">
        <v>190</v>
      </c>
      <c r="H238" s="9">
        <f t="shared" si="3"/>
        <v>380</v>
      </c>
    </row>
    <row r="239" spans="1:8" x14ac:dyDescent="0.3">
      <c r="A239" s="6">
        <v>238</v>
      </c>
      <c r="B239" s="7">
        <v>44434</v>
      </c>
      <c r="C239" s="8" t="s">
        <v>14</v>
      </c>
      <c r="D239" s="8" t="s">
        <v>9</v>
      </c>
      <c r="E239" s="8" t="s">
        <v>10</v>
      </c>
      <c r="F239" s="9">
        <v>2</v>
      </c>
      <c r="G239" s="9">
        <v>210</v>
      </c>
      <c r="H239" s="9">
        <f t="shared" si="3"/>
        <v>420</v>
      </c>
    </row>
    <row r="240" spans="1:8" x14ac:dyDescent="0.3">
      <c r="A240" s="6">
        <v>239</v>
      </c>
      <c r="B240" s="7">
        <v>44435</v>
      </c>
      <c r="C240" s="8" t="s">
        <v>16</v>
      </c>
      <c r="D240" s="8" t="s">
        <v>12</v>
      </c>
      <c r="E240" s="8" t="s">
        <v>13</v>
      </c>
      <c r="F240" s="9">
        <v>7</v>
      </c>
      <c r="G240" s="9">
        <v>2100</v>
      </c>
      <c r="H240" s="9">
        <f t="shared" si="3"/>
        <v>14700</v>
      </c>
    </row>
    <row r="241" spans="1:8" x14ac:dyDescent="0.3">
      <c r="A241" s="6">
        <v>240</v>
      </c>
      <c r="B241" s="7">
        <v>44436</v>
      </c>
      <c r="C241" s="8" t="s">
        <v>18</v>
      </c>
      <c r="D241" s="8" t="s">
        <v>9</v>
      </c>
      <c r="E241" s="8" t="s">
        <v>15</v>
      </c>
      <c r="F241" s="9">
        <v>6</v>
      </c>
      <c r="G241" s="9">
        <v>1200</v>
      </c>
      <c r="H241" s="9">
        <f t="shared" si="3"/>
        <v>7200</v>
      </c>
    </row>
    <row r="242" spans="1:8" x14ac:dyDescent="0.3">
      <c r="A242" s="6">
        <v>241</v>
      </c>
      <c r="B242" s="7">
        <v>44437</v>
      </c>
      <c r="C242" s="8" t="s">
        <v>20</v>
      </c>
      <c r="D242" s="8" t="s">
        <v>9</v>
      </c>
      <c r="E242" s="8" t="s">
        <v>17</v>
      </c>
      <c r="F242" s="9">
        <v>5</v>
      </c>
      <c r="G242" s="9">
        <v>1500</v>
      </c>
      <c r="H242" s="9">
        <f t="shared" si="3"/>
        <v>7500</v>
      </c>
    </row>
    <row r="243" spans="1:8" x14ac:dyDescent="0.3">
      <c r="A243" s="6">
        <v>242</v>
      </c>
      <c r="B243" s="7">
        <v>44438</v>
      </c>
      <c r="C243" s="8" t="s">
        <v>20</v>
      </c>
      <c r="D243" s="8" t="s">
        <v>9</v>
      </c>
      <c r="E243" s="8" t="s">
        <v>19</v>
      </c>
      <c r="F243" s="9">
        <v>4</v>
      </c>
      <c r="G243" s="9">
        <v>300</v>
      </c>
      <c r="H243" s="9">
        <f t="shared" si="3"/>
        <v>1200</v>
      </c>
    </row>
    <row r="244" spans="1:8" x14ac:dyDescent="0.3">
      <c r="A244" s="6">
        <v>243</v>
      </c>
      <c r="B244" s="7">
        <v>44439</v>
      </c>
      <c r="C244" s="8" t="s">
        <v>8</v>
      </c>
      <c r="D244" s="8" t="s">
        <v>9</v>
      </c>
      <c r="E244" s="8" t="s">
        <v>19</v>
      </c>
      <c r="F244" s="9">
        <v>3</v>
      </c>
      <c r="G244" s="9">
        <v>300</v>
      </c>
      <c r="H244" s="9">
        <f t="shared" si="3"/>
        <v>900</v>
      </c>
    </row>
    <row r="245" spans="1:8" x14ac:dyDescent="0.3">
      <c r="A245" s="6">
        <v>244</v>
      </c>
      <c r="B245" s="7">
        <v>44440</v>
      </c>
      <c r="C245" s="8" t="s">
        <v>8</v>
      </c>
      <c r="D245" s="8" t="s">
        <v>12</v>
      </c>
      <c r="E245" s="8" t="s">
        <v>21</v>
      </c>
      <c r="F245" s="9">
        <v>2</v>
      </c>
      <c r="G245" s="9">
        <v>190</v>
      </c>
      <c r="H245" s="9">
        <f t="shared" si="3"/>
        <v>380</v>
      </c>
    </row>
    <row r="246" spans="1:8" x14ac:dyDescent="0.3">
      <c r="A246" s="6">
        <v>245</v>
      </c>
      <c r="B246" s="7">
        <v>44441</v>
      </c>
      <c r="C246" s="8" t="s">
        <v>8</v>
      </c>
      <c r="D246" s="8" t="s">
        <v>22</v>
      </c>
      <c r="E246" s="8" t="s">
        <v>10</v>
      </c>
      <c r="F246" s="9">
        <v>2</v>
      </c>
      <c r="G246" s="9">
        <v>210</v>
      </c>
      <c r="H246" s="9">
        <f t="shared" si="3"/>
        <v>420</v>
      </c>
    </row>
    <row r="247" spans="1:8" x14ac:dyDescent="0.3">
      <c r="A247" s="6">
        <v>246</v>
      </c>
      <c r="B247" s="7">
        <v>44442</v>
      </c>
      <c r="C247" s="8" t="s">
        <v>8</v>
      </c>
      <c r="D247" s="8" t="s">
        <v>23</v>
      </c>
      <c r="E247" s="8" t="s">
        <v>13</v>
      </c>
      <c r="F247" s="9">
        <v>7</v>
      </c>
      <c r="G247" s="9">
        <v>2100</v>
      </c>
      <c r="H247" s="9">
        <f t="shared" si="3"/>
        <v>14700</v>
      </c>
    </row>
    <row r="248" spans="1:8" x14ac:dyDescent="0.3">
      <c r="A248" s="6">
        <v>247</v>
      </c>
      <c r="B248" s="7">
        <v>44443</v>
      </c>
      <c r="C248" s="8" t="s">
        <v>8</v>
      </c>
      <c r="D248" s="8" t="s">
        <v>9</v>
      </c>
      <c r="E248" s="8" t="s">
        <v>15</v>
      </c>
      <c r="F248" s="9">
        <v>6</v>
      </c>
      <c r="G248" s="9">
        <v>1200</v>
      </c>
      <c r="H248" s="9">
        <f t="shared" si="3"/>
        <v>7200</v>
      </c>
    </row>
    <row r="249" spans="1:8" x14ac:dyDescent="0.3">
      <c r="A249" s="6">
        <v>248</v>
      </c>
      <c r="B249" s="7">
        <v>44444</v>
      </c>
      <c r="C249" s="8" t="s">
        <v>8</v>
      </c>
      <c r="D249" s="8" t="s">
        <v>12</v>
      </c>
      <c r="E249" s="8" t="s">
        <v>17</v>
      </c>
      <c r="F249" s="9">
        <v>5</v>
      </c>
      <c r="G249" s="9">
        <v>1500</v>
      </c>
      <c r="H249" s="9">
        <f t="shared" si="3"/>
        <v>7500</v>
      </c>
    </row>
    <row r="250" spans="1:8" x14ac:dyDescent="0.3">
      <c r="A250" s="6">
        <v>249</v>
      </c>
      <c r="B250" s="7">
        <v>44445</v>
      </c>
      <c r="C250" s="8" t="s">
        <v>8</v>
      </c>
      <c r="D250" s="8" t="s">
        <v>22</v>
      </c>
      <c r="E250" s="8" t="s">
        <v>19</v>
      </c>
      <c r="F250" s="9">
        <v>4</v>
      </c>
      <c r="G250" s="9">
        <v>300</v>
      </c>
      <c r="H250" s="9">
        <f t="shared" si="3"/>
        <v>1200</v>
      </c>
    </row>
    <row r="251" spans="1:8" x14ac:dyDescent="0.3">
      <c r="A251" s="6">
        <v>250</v>
      </c>
      <c r="B251" s="7">
        <v>44446</v>
      </c>
      <c r="C251" s="8" t="s">
        <v>8</v>
      </c>
      <c r="D251" s="8" t="s">
        <v>23</v>
      </c>
      <c r="E251" s="8" t="s">
        <v>19</v>
      </c>
      <c r="F251" s="9">
        <v>3</v>
      </c>
      <c r="G251" s="9">
        <v>300</v>
      </c>
      <c r="H251" s="9">
        <f t="shared" si="3"/>
        <v>900</v>
      </c>
    </row>
    <row r="252" spans="1:8" x14ac:dyDescent="0.3">
      <c r="A252" s="6">
        <v>251</v>
      </c>
      <c r="B252" s="7">
        <v>44447</v>
      </c>
      <c r="C252" s="8" t="s">
        <v>11</v>
      </c>
      <c r="D252" s="8" t="s">
        <v>12</v>
      </c>
      <c r="E252" s="8" t="s">
        <v>21</v>
      </c>
      <c r="F252" s="9">
        <v>2</v>
      </c>
      <c r="G252" s="9">
        <v>190</v>
      </c>
      <c r="H252" s="9">
        <f t="shared" si="3"/>
        <v>380</v>
      </c>
    </row>
    <row r="253" spans="1:8" x14ac:dyDescent="0.3">
      <c r="A253" s="6">
        <v>252</v>
      </c>
      <c r="B253" s="7">
        <v>44448</v>
      </c>
      <c r="C253" s="8" t="s">
        <v>11</v>
      </c>
      <c r="D253" s="8" t="s">
        <v>9</v>
      </c>
      <c r="E253" s="8" t="s">
        <v>10</v>
      </c>
      <c r="F253" s="9">
        <v>2</v>
      </c>
      <c r="G253" s="9">
        <v>210</v>
      </c>
      <c r="H253" s="9">
        <f t="shared" si="3"/>
        <v>420</v>
      </c>
    </row>
    <row r="254" spans="1:8" x14ac:dyDescent="0.3">
      <c r="A254" s="6">
        <v>253</v>
      </c>
      <c r="B254" s="7">
        <v>44449</v>
      </c>
      <c r="C254" s="8" t="s">
        <v>11</v>
      </c>
      <c r="D254" s="8" t="s">
        <v>22</v>
      </c>
      <c r="E254" s="8" t="s">
        <v>13</v>
      </c>
      <c r="F254" s="9">
        <v>7</v>
      </c>
      <c r="G254" s="9">
        <v>2100</v>
      </c>
      <c r="H254" s="9">
        <f t="shared" si="3"/>
        <v>14700</v>
      </c>
    </row>
    <row r="255" spans="1:8" x14ac:dyDescent="0.3">
      <c r="A255" s="6">
        <v>254</v>
      </c>
      <c r="B255" s="7">
        <v>44450</v>
      </c>
      <c r="C255" s="8" t="s">
        <v>11</v>
      </c>
      <c r="D255" s="8" t="s">
        <v>23</v>
      </c>
      <c r="E255" s="8" t="s">
        <v>15</v>
      </c>
      <c r="F255" s="9">
        <v>6</v>
      </c>
      <c r="G255" s="9">
        <v>1200</v>
      </c>
      <c r="H255" s="9">
        <f t="shared" si="3"/>
        <v>7200</v>
      </c>
    </row>
    <row r="256" spans="1:8" x14ac:dyDescent="0.3">
      <c r="A256" s="6">
        <v>255</v>
      </c>
      <c r="B256" s="7">
        <v>44451</v>
      </c>
      <c r="C256" s="8" t="s">
        <v>11</v>
      </c>
      <c r="D256" s="8" t="s">
        <v>12</v>
      </c>
      <c r="E256" s="8" t="s">
        <v>17</v>
      </c>
      <c r="F256" s="9">
        <v>5</v>
      </c>
      <c r="G256" s="9">
        <v>1500</v>
      </c>
      <c r="H256" s="9">
        <f t="shared" si="3"/>
        <v>7500</v>
      </c>
    </row>
    <row r="257" spans="1:8" x14ac:dyDescent="0.3">
      <c r="A257" s="6">
        <v>256</v>
      </c>
      <c r="B257" s="7">
        <v>44452</v>
      </c>
      <c r="C257" s="8" t="s">
        <v>11</v>
      </c>
      <c r="D257" s="8" t="s">
        <v>9</v>
      </c>
      <c r="E257" s="8" t="s">
        <v>19</v>
      </c>
      <c r="F257" s="9">
        <v>4</v>
      </c>
      <c r="G257" s="9">
        <v>300</v>
      </c>
      <c r="H257" s="9">
        <f t="shared" si="3"/>
        <v>1200</v>
      </c>
    </row>
    <row r="258" spans="1:8" x14ac:dyDescent="0.3">
      <c r="A258" s="6">
        <v>257</v>
      </c>
      <c r="B258" s="7">
        <v>44453</v>
      </c>
      <c r="C258" s="8" t="s">
        <v>11</v>
      </c>
      <c r="D258" s="8" t="s">
        <v>22</v>
      </c>
      <c r="E258" s="8" t="s">
        <v>10</v>
      </c>
      <c r="F258" s="9">
        <v>7</v>
      </c>
      <c r="G258" s="9">
        <v>210</v>
      </c>
      <c r="H258" s="9">
        <f t="shared" si="3"/>
        <v>1470</v>
      </c>
    </row>
    <row r="259" spans="1:8" x14ac:dyDescent="0.3">
      <c r="A259" s="6">
        <v>258</v>
      </c>
      <c r="B259" s="7">
        <v>44454</v>
      </c>
      <c r="C259" s="8" t="s">
        <v>11</v>
      </c>
      <c r="D259" s="8" t="s">
        <v>23</v>
      </c>
      <c r="E259" s="8" t="s">
        <v>13</v>
      </c>
      <c r="F259" s="9">
        <v>6</v>
      </c>
      <c r="G259" s="9">
        <v>2100</v>
      </c>
      <c r="H259" s="9">
        <f t="shared" ref="H259:H322" si="4">F259*G259</f>
        <v>12600</v>
      </c>
    </row>
    <row r="260" spans="1:8" x14ac:dyDescent="0.3">
      <c r="A260" s="6">
        <v>259</v>
      </c>
      <c r="B260" s="7">
        <v>44455</v>
      </c>
      <c r="C260" s="8" t="s">
        <v>14</v>
      </c>
      <c r="D260" s="8" t="s">
        <v>23</v>
      </c>
      <c r="E260" s="8" t="s">
        <v>15</v>
      </c>
      <c r="F260" s="9">
        <v>5</v>
      </c>
      <c r="G260" s="9">
        <v>1200</v>
      </c>
      <c r="H260" s="9">
        <f t="shared" si="4"/>
        <v>6000</v>
      </c>
    </row>
    <row r="261" spans="1:8" x14ac:dyDescent="0.3">
      <c r="A261" s="6">
        <v>260</v>
      </c>
      <c r="B261" s="7">
        <v>44456</v>
      </c>
      <c r="C261" s="8" t="s">
        <v>16</v>
      </c>
      <c r="D261" s="8" t="s">
        <v>23</v>
      </c>
      <c r="E261" s="8" t="s">
        <v>17</v>
      </c>
      <c r="F261" s="9">
        <v>4</v>
      </c>
      <c r="G261" s="9">
        <v>1500</v>
      </c>
      <c r="H261" s="9">
        <f t="shared" si="4"/>
        <v>6000</v>
      </c>
    </row>
    <row r="262" spans="1:8" x14ac:dyDescent="0.3">
      <c r="A262" s="6">
        <v>261</v>
      </c>
      <c r="B262" s="7">
        <v>44457</v>
      </c>
      <c r="C262" s="8" t="s">
        <v>18</v>
      </c>
      <c r="D262" s="8" t="s">
        <v>23</v>
      </c>
      <c r="E262" s="8" t="s">
        <v>19</v>
      </c>
      <c r="F262" s="9">
        <v>3</v>
      </c>
      <c r="G262" s="9">
        <v>300</v>
      </c>
      <c r="H262" s="9">
        <f t="shared" si="4"/>
        <v>900</v>
      </c>
    </row>
    <row r="263" spans="1:8" x14ac:dyDescent="0.3">
      <c r="A263" s="6">
        <v>262</v>
      </c>
      <c r="B263" s="7">
        <v>44458</v>
      </c>
      <c r="C263" s="8" t="s">
        <v>20</v>
      </c>
      <c r="D263" s="8" t="s">
        <v>23</v>
      </c>
      <c r="E263" s="8" t="s">
        <v>21</v>
      </c>
      <c r="F263" s="9">
        <v>2</v>
      </c>
      <c r="G263" s="9">
        <v>190</v>
      </c>
      <c r="H263" s="9">
        <f t="shared" si="4"/>
        <v>380</v>
      </c>
    </row>
    <row r="264" spans="1:8" x14ac:dyDescent="0.3">
      <c r="A264" s="6">
        <v>263</v>
      </c>
      <c r="B264" s="7">
        <v>44459</v>
      </c>
      <c r="C264" s="8" t="s">
        <v>20</v>
      </c>
      <c r="D264" s="8" t="s">
        <v>9</v>
      </c>
      <c r="E264" s="8" t="s">
        <v>10</v>
      </c>
      <c r="F264" s="9">
        <v>2</v>
      </c>
      <c r="G264" s="9">
        <v>210</v>
      </c>
      <c r="H264" s="9">
        <f t="shared" si="4"/>
        <v>420</v>
      </c>
    </row>
    <row r="265" spans="1:8" x14ac:dyDescent="0.3">
      <c r="A265" s="6">
        <v>264</v>
      </c>
      <c r="B265" s="7">
        <v>44460</v>
      </c>
      <c r="C265" s="8" t="s">
        <v>20</v>
      </c>
      <c r="D265" s="8" t="s">
        <v>12</v>
      </c>
      <c r="E265" s="8" t="s">
        <v>13</v>
      </c>
      <c r="F265" s="9">
        <v>7</v>
      </c>
      <c r="G265" s="9">
        <v>2100</v>
      </c>
      <c r="H265" s="9">
        <f t="shared" si="4"/>
        <v>14700</v>
      </c>
    </row>
    <row r="266" spans="1:8" x14ac:dyDescent="0.3">
      <c r="A266" s="6">
        <v>265</v>
      </c>
      <c r="B266" s="7">
        <v>44461</v>
      </c>
      <c r="C266" s="8" t="s">
        <v>20</v>
      </c>
      <c r="D266" s="8" t="s">
        <v>22</v>
      </c>
      <c r="E266" s="8" t="s">
        <v>15</v>
      </c>
      <c r="F266" s="9">
        <v>6</v>
      </c>
      <c r="G266" s="9">
        <v>1200</v>
      </c>
      <c r="H266" s="9">
        <f t="shared" si="4"/>
        <v>7200</v>
      </c>
    </row>
    <row r="267" spans="1:8" x14ac:dyDescent="0.3">
      <c r="A267" s="6">
        <v>266</v>
      </c>
      <c r="B267" s="7">
        <v>44462</v>
      </c>
      <c r="C267" s="8" t="s">
        <v>20</v>
      </c>
      <c r="D267" s="8" t="s">
        <v>23</v>
      </c>
      <c r="E267" s="8" t="s">
        <v>17</v>
      </c>
      <c r="F267" s="9">
        <v>5</v>
      </c>
      <c r="G267" s="9">
        <v>1500</v>
      </c>
      <c r="H267" s="9">
        <f t="shared" si="4"/>
        <v>7500</v>
      </c>
    </row>
    <row r="268" spans="1:8" x14ac:dyDescent="0.3">
      <c r="A268" s="6">
        <v>267</v>
      </c>
      <c r="B268" s="7">
        <v>44463</v>
      </c>
      <c r="C268" s="8" t="s">
        <v>20</v>
      </c>
      <c r="D268" s="8" t="s">
        <v>9</v>
      </c>
      <c r="E268" s="8" t="s">
        <v>13</v>
      </c>
      <c r="F268" s="9">
        <v>7</v>
      </c>
      <c r="G268" s="9">
        <v>2100</v>
      </c>
      <c r="H268" s="9">
        <f t="shared" si="4"/>
        <v>14700</v>
      </c>
    </row>
    <row r="269" spans="1:8" x14ac:dyDescent="0.3">
      <c r="A269" s="6">
        <v>268</v>
      </c>
      <c r="B269" s="7">
        <v>44464</v>
      </c>
      <c r="C269" s="8" t="s">
        <v>20</v>
      </c>
      <c r="D269" s="8" t="s">
        <v>12</v>
      </c>
      <c r="E269" s="8" t="s">
        <v>13</v>
      </c>
      <c r="F269" s="9">
        <v>7</v>
      </c>
      <c r="G269" s="9">
        <v>2100</v>
      </c>
      <c r="H269" s="9">
        <f t="shared" si="4"/>
        <v>14700</v>
      </c>
    </row>
    <row r="270" spans="1:8" x14ac:dyDescent="0.3">
      <c r="A270" s="6">
        <v>269</v>
      </c>
      <c r="B270" s="7">
        <v>44465</v>
      </c>
      <c r="C270" s="8" t="s">
        <v>20</v>
      </c>
      <c r="D270" s="8" t="s">
        <v>22</v>
      </c>
      <c r="E270" s="8" t="s">
        <v>13</v>
      </c>
      <c r="F270" s="9">
        <v>7</v>
      </c>
      <c r="G270" s="9">
        <v>2100</v>
      </c>
      <c r="H270" s="9">
        <f t="shared" si="4"/>
        <v>14700</v>
      </c>
    </row>
    <row r="271" spans="1:8" x14ac:dyDescent="0.3">
      <c r="A271" s="6">
        <v>270</v>
      </c>
      <c r="B271" s="7">
        <v>44466</v>
      </c>
      <c r="C271" s="8" t="s">
        <v>20</v>
      </c>
      <c r="D271" s="8" t="s">
        <v>23</v>
      </c>
      <c r="E271" s="8" t="s">
        <v>13</v>
      </c>
      <c r="F271" s="9">
        <v>7</v>
      </c>
      <c r="G271" s="9">
        <v>2100</v>
      </c>
      <c r="H271" s="9">
        <f t="shared" si="4"/>
        <v>14700</v>
      </c>
    </row>
    <row r="272" spans="1:8" x14ac:dyDescent="0.3">
      <c r="A272" s="6">
        <v>271</v>
      </c>
      <c r="B272" s="7">
        <v>44467</v>
      </c>
      <c r="C272" s="8" t="s">
        <v>8</v>
      </c>
      <c r="D272" s="8" t="s">
        <v>9</v>
      </c>
      <c r="E272" s="8" t="s">
        <v>13</v>
      </c>
      <c r="F272" s="9">
        <v>7</v>
      </c>
      <c r="G272" s="9">
        <v>2100</v>
      </c>
      <c r="H272" s="9">
        <f t="shared" si="4"/>
        <v>14700</v>
      </c>
    </row>
    <row r="273" spans="1:8" x14ac:dyDescent="0.3">
      <c r="A273" s="6">
        <v>272</v>
      </c>
      <c r="B273" s="7">
        <v>44468</v>
      </c>
      <c r="C273" s="8" t="s">
        <v>11</v>
      </c>
      <c r="D273" s="8" t="s">
        <v>12</v>
      </c>
      <c r="E273" s="8" t="s">
        <v>13</v>
      </c>
      <c r="F273" s="9">
        <v>7</v>
      </c>
      <c r="G273" s="9">
        <v>2100</v>
      </c>
      <c r="H273" s="9">
        <f t="shared" si="4"/>
        <v>14700</v>
      </c>
    </row>
    <row r="274" spans="1:8" x14ac:dyDescent="0.3">
      <c r="A274" s="6">
        <v>273</v>
      </c>
      <c r="B274" s="7">
        <v>44469</v>
      </c>
      <c r="C274" s="8" t="s">
        <v>14</v>
      </c>
      <c r="D274" s="8" t="s">
        <v>9</v>
      </c>
      <c r="E274" s="8" t="s">
        <v>13</v>
      </c>
      <c r="F274" s="9">
        <v>7</v>
      </c>
      <c r="G274" s="9">
        <v>2100</v>
      </c>
      <c r="H274" s="9">
        <f t="shared" si="4"/>
        <v>14700</v>
      </c>
    </row>
    <row r="275" spans="1:8" x14ac:dyDescent="0.3">
      <c r="A275" s="6">
        <v>274</v>
      </c>
      <c r="B275" s="7">
        <v>44470</v>
      </c>
      <c r="C275" s="8" t="s">
        <v>16</v>
      </c>
      <c r="D275" s="8" t="s">
        <v>12</v>
      </c>
      <c r="E275" s="8" t="s">
        <v>13</v>
      </c>
      <c r="F275" s="9">
        <v>7</v>
      </c>
      <c r="G275" s="9">
        <v>2100</v>
      </c>
      <c r="H275" s="9">
        <f t="shared" si="4"/>
        <v>14700</v>
      </c>
    </row>
    <row r="276" spans="1:8" x14ac:dyDescent="0.3">
      <c r="A276" s="6">
        <v>275</v>
      </c>
      <c r="B276" s="7">
        <v>44471</v>
      </c>
      <c r="C276" s="8" t="s">
        <v>18</v>
      </c>
      <c r="D276" s="8" t="s">
        <v>9</v>
      </c>
      <c r="E276" s="8" t="s">
        <v>13</v>
      </c>
      <c r="F276" s="9">
        <v>7</v>
      </c>
      <c r="G276" s="9">
        <v>2100</v>
      </c>
      <c r="H276" s="9">
        <f t="shared" si="4"/>
        <v>14700</v>
      </c>
    </row>
    <row r="277" spans="1:8" x14ac:dyDescent="0.3">
      <c r="A277" s="6">
        <v>276</v>
      </c>
      <c r="B277" s="7">
        <v>44472</v>
      </c>
      <c r="C277" s="8" t="s">
        <v>20</v>
      </c>
      <c r="D277" s="8" t="s">
        <v>9</v>
      </c>
      <c r="E277" s="8" t="s">
        <v>13</v>
      </c>
      <c r="F277" s="9">
        <v>7</v>
      </c>
      <c r="G277" s="9">
        <v>2100</v>
      </c>
      <c r="H277" s="9">
        <f t="shared" si="4"/>
        <v>14700</v>
      </c>
    </row>
    <row r="278" spans="1:8" x14ac:dyDescent="0.3">
      <c r="A278" s="6">
        <v>277</v>
      </c>
      <c r="B278" s="7">
        <v>44473</v>
      </c>
      <c r="C278" s="8" t="s">
        <v>8</v>
      </c>
      <c r="D278" s="8" t="s">
        <v>9</v>
      </c>
      <c r="E278" s="8" t="s">
        <v>13</v>
      </c>
      <c r="F278" s="9">
        <v>7</v>
      </c>
      <c r="G278" s="9">
        <v>2100</v>
      </c>
      <c r="H278" s="9">
        <f t="shared" si="4"/>
        <v>14700</v>
      </c>
    </row>
    <row r="279" spans="1:8" x14ac:dyDescent="0.3">
      <c r="A279" s="6">
        <v>278</v>
      </c>
      <c r="B279" s="7">
        <v>44474</v>
      </c>
      <c r="C279" s="8" t="s">
        <v>11</v>
      </c>
      <c r="D279" s="8" t="s">
        <v>12</v>
      </c>
      <c r="E279" s="8" t="s">
        <v>15</v>
      </c>
      <c r="F279" s="9">
        <v>5</v>
      </c>
      <c r="G279" s="9">
        <v>1200</v>
      </c>
      <c r="H279" s="9">
        <f t="shared" si="4"/>
        <v>6000</v>
      </c>
    </row>
    <row r="280" spans="1:8" x14ac:dyDescent="0.3">
      <c r="A280" s="6">
        <v>279</v>
      </c>
      <c r="B280" s="7">
        <v>44475</v>
      </c>
      <c r="C280" s="8" t="s">
        <v>14</v>
      </c>
      <c r="D280" s="8" t="s">
        <v>12</v>
      </c>
      <c r="E280" s="8" t="s">
        <v>17</v>
      </c>
      <c r="F280" s="9">
        <v>4</v>
      </c>
      <c r="G280" s="9">
        <v>1500</v>
      </c>
      <c r="H280" s="9">
        <f t="shared" si="4"/>
        <v>6000</v>
      </c>
    </row>
    <row r="281" spans="1:8" x14ac:dyDescent="0.3">
      <c r="A281" s="6">
        <v>280</v>
      </c>
      <c r="B281" s="7">
        <v>44476</v>
      </c>
      <c r="C281" s="8" t="s">
        <v>16</v>
      </c>
      <c r="D281" s="8" t="s">
        <v>9</v>
      </c>
      <c r="E281" s="8" t="s">
        <v>19</v>
      </c>
      <c r="F281" s="9">
        <v>3</v>
      </c>
      <c r="G281" s="9">
        <v>300</v>
      </c>
      <c r="H281" s="9">
        <f t="shared" si="4"/>
        <v>900</v>
      </c>
    </row>
    <row r="282" spans="1:8" x14ac:dyDescent="0.3">
      <c r="A282" s="6">
        <v>281</v>
      </c>
      <c r="B282" s="7">
        <v>44477</v>
      </c>
      <c r="C282" s="8" t="s">
        <v>18</v>
      </c>
      <c r="D282" s="8" t="s">
        <v>9</v>
      </c>
      <c r="E282" s="8" t="s">
        <v>21</v>
      </c>
      <c r="F282" s="9">
        <v>2</v>
      </c>
      <c r="G282" s="9">
        <v>190</v>
      </c>
      <c r="H282" s="9">
        <f t="shared" si="4"/>
        <v>380</v>
      </c>
    </row>
    <row r="283" spans="1:8" x14ac:dyDescent="0.3">
      <c r="A283" s="6">
        <v>282</v>
      </c>
      <c r="B283" s="7">
        <v>44478</v>
      </c>
      <c r="C283" s="8" t="s">
        <v>20</v>
      </c>
      <c r="D283" s="8" t="s">
        <v>12</v>
      </c>
      <c r="E283" s="8" t="s">
        <v>10</v>
      </c>
      <c r="F283" s="9">
        <v>7</v>
      </c>
      <c r="G283" s="9">
        <v>210</v>
      </c>
      <c r="H283" s="9">
        <f t="shared" si="4"/>
        <v>1470</v>
      </c>
    </row>
    <row r="284" spans="1:8" x14ac:dyDescent="0.3">
      <c r="A284" s="6">
        <v>283</v>
      </c>
      <c r="B284" s="7">
        <v>44479</v>
      </c>
      <c r="C284" s="8" t="s">
        <v>20</v>
      </c>
      <c r="D284" s="8" t="s">
        <v>9</v>
      </c>
      <c r="E284" s="8" t="s">
        <v>13</v>
      </c>
      <c r="F284" s="9">
        <v>6</v>
      </c>
      <c r="G284" s="9">
        <v>2100</v>
      </c>
      <c r="H284" s="9">
        <f t="shared" si="4"/>
        <v>12600</v>
      </c>
    </row>
    <row r="285" spans="1:8" x14ac:dyDescent="0.3">
      <c r="A285" s="6">
        <v>284</v>
      </c>
      <c r="B285" s="7">
        <v>44480</v>
      </c>
      <c r="C285" s="8" t="s">
        <v>8</v>
      </c>
      <c r="D285" s="8" t="s">
        <v>9</v>
      </c>
      <c r="E285" s="8" t="s">
        <v>15</v>
      </c>
      <c r="F285" s="9">
        <v>5</v>
      </c>
      <c r="G285" s="9">
        <v>1200</v>
      </c>
      <c r="H285" s="9">
        <f t="shared" si="4"/>
        <v>6000</v>
      </c>
    </row>
    <row r="286" spans="1:8" x14ac:dyDescent="0.3">
      <c r="A286" s="6">
        <v>285</v>
      </c>
      <c r="B286" s="7">
        <v>44481</v>
      </c>
      <c r="C286" s="8" t="s">
        <v>11</v>
      </c>
      <c r="D286" s="8" t="s">
        <v>9</v>
      </c>
      <c r="E286" s="8" t="s">
        <v>17</v>
      </c>
      <c r="F286" s="9">
        <v>4</v>
      </c>
      <c r="G286" s="9">
        <v>1500</v>
      </c>
      <c r="H286" s="9">
        <f t="shared" si="4"/>
        <v>6000</v>
      </c>
    </row>
    <row r="287" spans="1:8" x14ac:dyDescent="0.3">
      <c r="A287" s="6">
        <v>286</v>
      </c>
      <c r="B287" s="7">
        <v>44482</v>
      </c>
      <c r="C287" s="8" t="s">
        <v>14</v>
      </c>
      <c r="D287" s="8" t="s">
        <v>9</v>
      </c>
      <c r="E287" s="8" t="s">
        <v>19</v>
      </c>
      <c r="F287" s="9">
        <v>3</v>
      </c>
      <c r="G287" s="9">
        <v>300</v>
      </c>
      <c r="H287" s="9">
        <f t="shared" si="4"/>
        <v>900</v>
      </c>
    </row>
    <row r="288" spans="1:8" x14ac:dyDescent="0.3">
      <c r="A288" s="6">
        <v>287</v>
      </c>
      <c r="B288" s="7">
        <v>44483</v>
      </c>
      <c r="C288" s="8" t="s">
        <v>16</v>
      </c>
      <c r="D288" s="8" t="s">
        <v>9</v>
      </c>
      <c r="E288" s="8" t="s">
        <v>21</v>
      </c>
      <c r="F288" s="9">
        <v>2</v>
      </c>
      <c r="G288" s="9">
        <v>190</v>
      </c>
      <c r="H288" s="9">
        <f t="shared" si="4"/>
        <v>380</v>
      </c>
    </row>
    <row r="289" spans="1:8" x14ac:dyDescent="0.3">
      <c r="A289" s="6">
        <v>288</v>
      </c>
      <c r="B289" s="7">
        <v>44484</v>
      </c>
      <c r="C289" s="8" t="s">
        <v>18</v>
      </c>
      <c r="D289" s="8" t="s">
        <v>9</v>
      </c>
      <c r="E289" s="8" t="s">
        <v>10</v>
      </c>
      <c r="F289" s="9">
        <v>2</v>
      </c>
      <c r="G289" s="9">
        <v>210</v>
      </c>
      <c r="H289" s="9">
        <f t="shared" si="4"/>
        <v>420</v>
      </c>
    </row>
    <row r="290" spans="1:8" x14ac:dyDescent="0.3">
      <c r="A290" s="6">
        <v>289</v>
      </c>
      <c r="B290" s="7">
        <v>44485</v>
      </c>
      <c r="C290" s="8" t="s">
        <v>20</v>
      </c>
      <c r="D290" s="8" t="s">
        <v>9</v>
      </c>
      <c r="E290" s="8" t="s">
        <v>13</v>
      </c>
      <c r="F290" s="9">
        <v>7</v>
      </c>
      <c r="G290" s="9">
        <v>2100</v>
      </c>
      <c r="H290" s="9">
        <f t="shared" si="4"/>
        <v>14700</v>
      </c>
    </row>
    <row r="291" spans="1:8" x14ac:dyDescent="0.3">
      <c r="A291" s="6">
        <v>290</v>
      </c>
      <c r="B291" s="7">
        <v>44486</v>
      </c>
      <c r="C291" s="8" t="s">
        <v>8</v>
      </c>
      <c r="D291" s="8" t="s">
        <v>9</v>
      </c>
      <c r="E291" s="8" t="s">
        <v>15</v>
      </c>
      <c r="F291" s="9">
        <v>6</v>
      </c>
      <c r="G291" s="9">
        <v>1200</v>
      </c>
      <c r="H291" s="9">
        <f t="shared" si="4"/>
        <v>7200</v>
      </c>
    </row>
    <row r="292" spans="1:8" x14ac:dyDescent="0.3">
      <c r="A292" s="6">
        <v>291</v>
      </c>
      <c r="B292" s="7">
        <v>44487</v>
      </c>
      <c r="C292" s="8" t="s">
        <v>11</v>
      </c>
      <c r="D292" s="8" t="s">
        <v>12</v>
      </c>
      <c r="E292" s="8" t="s">
        <v>17</v>
      </c>
      <c r="F292" s="9">
        <v>5</v>
      </c>
      <c r="G292" s="9">
        <v>1500</v>
      </c>
      <c r="H292" s="9">
        <f t="shared" si="4"/>
        <v>7500</v>
      </c>
    </row>
    <row r="293" spans="1:8" x14ac:dyDescent="0.3">
      <c r="A293" s="6">
        <v>292</v>
      </c>
      <c r="B293" s="7">
        <v>44488</v>
      </c>
      <c r="C293" s="8" t="s">
        <v>14</v>
      </c>
      <c r="D293" s="8" t="s">
        <v>9</v>
      </c>
      <c r="E293" s="8" t="s">
        <v>19</v>
      </c>
      <c r="F293" s="9">
        <v>4</v>
      </c>
      <c r="G293" s="9">
        <v>300</v>
      </c>
      <c r="H293" s="9">
        <f t="shared" si="4"/>
        <v>1200</v>
      </c>
    </row>
    <row r="294" spans="1:8" x14ac:dyDescent="0.3">
      <c r="A294" s="6">
        <v>293</v>
      </c>
      <c r="B294" s="7">
        <v>44489</v>
      </c>
      <c r="C294" s="8" t="s">
        <v>16</v>
      </c>
      <c r="D294" s="8" t="s">
        <v>12</v>
      </c>
      <c r="E294" s="8" t="s">
        <v>17</v>
      </c>
      <c r="F294" s="9">
        <v>5</v>
      </c>
      <c r="G294" s="9">
        <v>1500</v>
      </c>
      <c r="H294" s="9">
        <f t="shared" si="4"/>
        <v>7500</v>
      </c>
    </row>
    <row r="295" spans="1:8" x14ac:dyDescent="0.3">
      <c r="A295" s="6">
        <v>294</v>
      </c>
      <c r="B295" s="7">
        <v>44490</v>
      </c>
      <c r="C295" s="8" t="s">
        <v>18</v>
      </c>
      <c r="D295" s="8" t="s">
        <v>9</v>
      </c>
      <c r="E295" s="8" t="s">
        <v>19</v>
      </c>
      <c r="F295" s="9">
        <v>4</v>
      </c>
      <c r="G295" s="9">
        <v>300</v>
      </c>
      <c r="H295" s="9">
        <f t="shared" si="4"/>
        <v>1200</v>
      </c>
    </row>
    <row r="296" spans="1:8" x14ac:dyDescent="0.3">
      <c r="A296" s="6">
        <v>295</v>
      </c>
      <c r="B296" s="7">
        <v>44491</v>
      </c>
      <c r="C296" s="8" t="s">
        <v>20</v>
      </c>
      <c r="D296" s="8" t="s">
        <v>9</v>
      </c>
      <c r="E296" s="8" t="s">
        <v>17</v>
      </c>
      <c r="F296" s="9">
        <v>5</v>
      </c>
      <c r="G296" s="9">
        <v>1500</v>
      </c>
      <c r="H296" s="9">
        <f t="shared" si="4"/>
        <v>7500</v>
      </c>
    </row>
    <row r="297" spans="1:8" x14ac:dyDescent="0.3">
      <c r="A297" s="6">
        <v>296</v>
      </c>
      <c r="B297" s="7">
        <v>44492</v>
      </c>
      <c r="C297" s="8" t="s">
        <v>20</v>
      </c>
      <c r="D297" s="8" t="s">
        <v>9</v>
      </c>
      <c r="E297" s="8" t="s">
        <v>19</v>
      </c>
      <c r="F297" s="9">
        <v>4</v>
      </c>
      <c r="G297" s="9">
        <v>300</v>
      </c>
      <c r="H297" s="9">
        <f t="shared" si="4"/>
        <v>1200</v>
      </c>
    </row>
    <row r="298" spans="1:8" x14ac:dyDescent="0.3">
      <c r="A298" s="6">
        <v>297</v>
      </c>
      <c r="B298" s="7">
        <v>44493</v>
      </c>
      <c r="C298" s="8" t="s">
        <v>8</v>
      </c>
      <c r="D298" s="8" t="s">
        <v>9</v>
      </c>
      <c r="E298" s="8" t="s">
        <v>17</v>
      </c>
      <c r="F298" s="9">
        <v>5</v>
      </c>
      <c r="G298" s="9">
        <v>1500</v>
      </c>
      <c r="H298" s="9">
        <f t="shared" si="4"/>
        <v>7500</v>
      </c>
    </row>
    <row r="299" spans="1:8" x14ac:dyDescent="0.3">
      <c r="A299" s="6">
        <v>298</v>
      </c>
      <c r="B299" s="7">
        <v>44494</v>
      </c>
      <c r="C299" s="8" t="s">
        <v>8</v>
      </c>
      <c r="D299" s="8" t="s">
        <v>12</v>
      </c>
      <c r="E299" s="8" t="s">
        <v>19</v>
      </c>
      <c r="F299" s="9">
        <v>4</v>
      </c>
      <c r="G299" s="9">
        <v>300</v>
      </c>
      <c r="H299" s="9">
        <f t="shared" si="4"/>
        <v>1200</v>
      </c>
    </row>
    <row r="300" spans="1:8" x14ac:dyDescent="0.3">
      <c r="A300" s="6">
        <v>299</v>
      </c>
      <c r="B300" s="7">
        <v>44495</v>
      </c>
      <c r="C300" s="8" t="s">
        <v>8</v>
      </c>
      <c r="D300" s="8" t="s">
        <v>22</v>
      </c>
      <c r="E300" s="8" t="s">
        <v>17</v>
      </c>
      <c r="F300" s="9">
        <v>5</v>
      </c>
      <c r="G300" s="9">
        <v>1500</v>
      </c>
      <c r="H300" s="9">
        <f t="shared" si="4"/>
        <v>7500</v>
      </c>
    </row>
    <row r="301" spans="1:8" x14ac:dyDescent="0.3">
      <c r="A301" s="6">
        <v>300</v>
      </c>
      <c r="B301" s="7">
        <v>44496</v>
      </c>
      <c r="C301" s="8" t="s">
        <v>8</v>
      </c>
      <c r="D301" s="8" t="s">
        <v>23</v>
      </c>
      <c r="E301" s="8" t="s">
        <v>19</v>
      </c>
      <c r="F301" s="9">
        <v>4</v>
      </c>
      <c r="G301" s="9">
        <v>300</v>
      </c>
      <c r="H301" s="9">
        <f t="shared" si="4"/>
        <v>1200</v>
      </c>
    </row>
    <row r="302" spans="1:8" x14ac:dyDescent="0.3">
      <c r="A302" s="6">
        <v>301</v>
      </c>
      <c r="B302" s="7">
        <v>44497</v>
      </c>
      <c r="C302" s="8" t="s">
        <v>8</v>
      </c>
      <c r="D302" s="8" t="s">
        <v>9</v>
      </c>
      <c r="E302" s="8" t="s">
        <v>17</v>
      </c>
      <c r="F302" s="9">
        <v>5</v>
      </c>
      <c r="G302" s="9">
        <v>1500</v>
      </c>
      <c r="H302" s="9">
        <f t="shared" si="4"/>
        <v>7500</v>
      </c>
    </row>
    <row r="303" spans="1:8" x14ac:dyDescent="0.3">
      <c r="A303" s="6">
        <v>302</v>
      </c>
      <c r="B303" s="7">
        <v>44498</v>
      </c>
      <c r="C303" s="8" t="s">
        <v>8</v>
      </c>
      <c r="D303" s="8" t="s">
        <v>12</v>
      </c>
      <c r="E303" s="8" t="s">
        <v>13</v>
      </c>
      <c r="F303" s="9">
        <v>6</v>
      </c>
      <c r="G303" s="9">
        <v>2100</v>
      </c>
      <c r="H303" s="9">
        <f t="shared" si="4"/>
        <v>12600</v>
      </c>
    </row>
    <row r="304" spans="1:8" x14ac:dyDescent="0.3">
      <c r="A304" s="6">
        <v>303</v>
      </c>
      <c r="B304" s="7">
        <v>44499</v>
      </c>
      <c r="C304" s="8" t="s">
        <v>8</v>
      </c>
      <c r="D304" s="8" t="s">
        <v>22</v>
      </c>
      <c r="E304" s="8" t="s">
        <v>15</v>
      </c>
      <c r="F304" s="9">
        <v>5</v>
      </c>
      <c r="G304" s="9">
        <v>1200</v>
      </c>
      <c r="H304" s="9">
        <f t="shared" si="4"/>
        <v>6000</v>
      </c>
    </row>
    <row r="305" spans="1:8" x14ac:dyDescent="0.3">
      <c r="A305" s="6">
        <v>304</v>
      </c>
      <c r="B305" s="7">
        <v>44500</v>
      </c>
      <c r="C305" s="8" t="s">
        <v>8</v>
      </c>
      <c r="D305" s="8" t="s">
        <v>23</v>
      </c>
      <c r="E305" s="8" t="s">
        <v>17</v>
      </c>
      <c r="F305" s="9">
        <v>4</v>
      </c>
      <c r="G305" s="9">
        <v>1500</v>
      </c>
      <c r="H305" s="9">
        <f t="shared" si="4"/>
        <v>6000</v>
      </c>
    </row>
    <row r="306" spans="1:8" x14ac:dyDescent="0.3">
      <c r="A306" s="6">
        <v>305</v>
      </c>
      <c r="B306" s="7">
        <v>44501</v>
      </c>
      <c r="C306" s="8" t="s">
        <v>11</v>
      </c>
      <c r="D306" s="8" t="s">
        <v>12</v>
      </c>
      <c r="E306" s="8" t="s">
        <v>19</v>
      </c>
      <c r="F306" s="9">
        <v>3</v>
      </c>
      <c r="G306" s="9">
        <v>300</v>
      </c>
      <c r="H306" s="9">
        <f t="shared" si="4"/>
        <v>900</v>
      </c>
    </row>
    <row r="307" spans="1:8" x14ac:dyDescent="0.3">
      <c r="A307" s="6">
        <v>306</v>
      </c>
      <c r="B307" s="7">
        <v>44502</v>
      </c>
      <c r="C307" s="8" t="s">
        <v>11</v>
      </c>
      <c r="D307" s="8" t="s">
        <v>9</v>
      </c>
      <c r="E307" s="8" t="s">
        <v>21</v>
      </c>
      <c r="F307" s="9">
        <v>2</v>
      </c>
      <c r="G307" s="9">
        <v>190</v>
      </c>
      <c r="H307" s="9">
        <f t="shared" si="4"/>
        <v>380</v>
      </c>
    </row>
    <row r="308" spans="1:8" x14ac:dyDescent="0.3">
      <c r="A308" s="6">
        <v>307</v>
      </c>
      <c r="B308" s="7">
        <v>44503</v>
      </c>
      <c r="C308" s="8" t="s">
        <v>11</v>
      </c>
      <c r="D308" s="8" t="s">
        <v>22</v>
      </c>
      <c r="E308" s="8" t="s">
        <v>21</v>
      </c>
      <c r="F308" s="9">
        <v>2</v>
      </c>
      <c r="G308" s="9">
        <v>190</v>
      </c>
      <c r="H308" s="9">
        <f t="shared" si="4"/>
        <v>380</v>
      </c>
    </row>
    <row r="309" spans="1:8" x14ac:dyDescent="0.3">
      <c r="A309" s="6">
        <v>308</v>
      </c>
      <c r="B309" s="7">
        <v>44504</v>
      </c>
      <c r="C309" s="8" t="s">
        <v>11</v>
      </c>
      <c r="D309" s="8" t="s">
        <v>23</v>
      </c>
      <c r="E309" s="8" t="s">
        <v>21</v>
      </c>
      <c r="F309" s="9">
        <v>2</v>
      </c>
      <c r="G309" s="9">
        <v>190</v>
      </c>
      <c r="H309" s="9">
        <f t="shared" si="4"/>
        <v>380</v>
      </c>
    </row>
    <row r="310" spans="1:8" x14ac:dyDescent="0.3">
      <c r="A310" s="6">
        <v>309</v>
      </c>
      <c r="B310" s="7">
        <v>44505</v>
      </c>
      <c r="C310" s="8" t="s">
        <v>11</v>
      </c>
      <c r="D310" s="8" t="s">
        <v>12</v>
      </c>
      <c r="E310" s="8" t="s">
        <v>21</v>
      </c>
      <c r="F310" s="9">
        <v>2</v>
      </c>
      <c r="G310" s="9">
        <v>190</v>
      </c>
      <c r="H310" s="9">
        <f t="shared" si="4"/>
        <v>380</v>
      </c>
    </row>
    <row r="311" spans="1:8" x14ac:dyDescent="0.3">
      <c r="A311" s="6">
        <v>310</v>
      </c>
      <c r="B311" s="7">
        <v>44506</v>
      </c>
      <c r="C311" s="8" t="s">
        <v>11</v>
      </c>
      <c r="D311" s="8" t="s">
        <v>9</v>
      </c>
      <c r="E311" s="8" t="s">
        <v>21</v>
      </c>
      <c r="F311" s="9">
        <v>2</v>
      </c>
      <c r="G311" s="9">
        <v>190</v>
      </c>
      <c r="H311" s="9">
        <f t="shared" si="4"/>
        <v>380</v>
      </c>
    </row>
    <row r="312" spans="1:8" x14ac:dyDescent="0.3">
      <c r="A312" s="6">
        <v>311</v>
      </c>
      <c r="B312" s="7">
        <v>44507</v>
      </c>
      <c r="C312" s="8" t="s">
        <v>11</v>
      </c>
      <c r="D312" s="8" t="s">
        <v>22</v>
      </c>
      <c r="E312" s="8" t="s">
        <v>21</v>
      </c>
      <c r="F312" s="9">
        <v>2</v>
      </c>
      <c r="G312" s="9">
        <v>190</v>
      </c>
      <c r="H312" s="9">
        <f t="shared" si="4"/>
        <v>380</v>
      </c>
    </row>
    <row r="313" spans="1:8" x14ac:dyDescent="0.3">
      <c r="A313" s="6">
        <v>312</v>
      </c>
      <c r="B313" s="7">
        <v>44508</v>
      </c>
      <c r="C313" s="8" t="s">
        <v>11</v>
      </c>
      <c r="D313" s="8" t="s">
        <v>23</v>
      </c>
      <c r="E313" s="8" t="s">
        <v>21</v>
      </c>
      <c r="F313" s="9">
        <v>2</v>
      </c>
      <c r="G313" s="9">
        <v>190</v>
      </c>
      <c r="H313" s="9">
        <f t="shared" si="4"/>
        <v>380</v>
      </c>
    </row>
    <row r="314" spans="1:8" x14ac:dyDescent="0.3">
      <c r="A314" s="6">
        <v>313</v>
      </c>
      <c r="B314" s="7">
        <v>44509</v>
      </c>
      <c r="C314" s="8" t="s">
        <v>14</v>
      </c>
      <c r="D314" s="8" t="s">
        <v>23</v>
      </c>
      <c r="E314" s="8" t="s">
        <v>21</v>
      </c>
      <c r="F314" s="9">
        <v>2</v>
      </c>
      <c r="G314" s="9">
        <v>190</v>
      </c>
      <c r="H314" s="9">
        <f t="shared" si="4"/>
        <v>380</v>
      </c>
    </row>
    <row r="315" spans="1:8" x14ac:dyDescent="0.3">
      <c r="A315" s="6">
        <v>314</v>
      </c>
      <c r="B315" s="7">
        <v>44510</v>
      </c>
      <c r="C315" s="8" t="s">
        <v>16</v>
      </c>
      <c r="D315" s="8" t="s">
        <v>23</v>
      </c>
      <c r="E315" s="8" t="s">
        <v>21</v>
      </c>
      <c r="F315" s="9">
        <v>2</v>
      </c>
      <c r="G315" s="9">
        <v>190</v>
      </c>
      <c r="H315" s="9">
        <f t="shared" si="4"/>
        <v>380</v>
      </c>
    </row>
    <row r="316" spans="1:8" x14ac:dyDescent="0.3">
      <c r="A316" s="6">
        <v>315</v>
      </c>
      <c r="B316" s="7">
        <v>44511</v>
      </c>
      <c r="C316" s="8" t="s">
        <v>18</v>
      </c>
      <c r="D316" s="8" t="s">
        <v>23</v>
      </c>
      <c r="E316" s="8" t="s">
        <v>21</v>
      </c>
      <c r="F316" s="9">
        <v>2</v>
      </c>
      <c r="G316" s="9">
        <v>190</v>
      </c>
      <c r="H316" s="9">
        <f t="shared" si="4"/>
        <v>380</v>
      </c>
    </row>
    <row r="317" spans="1:8" x14ac:dyDescent="0.3">
      <c r="A317" s="6">
        <v>316</v>
      </c>
      <c r="B317" s="7">
        <v>44512</v>
      </c>
      <c r="C317" s="8" t="s">
        <v>20</v>
      </c>
      <c r="D317" s="8" t="s">
        <v>23</v>
      </c>
      <c r="E317" s="8" t="s">
        <v>21</v>
      </c>
      <c r="F317" s="9">
        <v>2</v>
      </c>
      <c r="G317" s="9">
        <v>190</v>
      </c>
      <c r="H317" s="9">
        <f t="shared" si="4"/>
        <v>380</v>
      </c>
    </row>
    <row r="318" spans="1:8" x14ac:dyDescent="0.3">
      <c r="A318" s="6">
        <v>317</v>
      </c>
      <c r="B318" s="7">
        <v>44513</v>
      </c>
      <c r="C318" s="8" t="s">
        <v>20</v>
      </c>
      <c r="D318" s="8" t="s">
        <v>9</v>
      </c>
      <c r="E318" s="8" t="s">
        <v>21</v>
      </c>
      <c r="F318" s="9">
        <v>2</v>
      </c>
      <c r="G318" s="9">
        <v>190</v>
      </c>
      <c r="H318" s="9">
        <f t="shared" si="4"/>
        <v>380</v>
      </c>
    </row>
    <row r="319" spans="1:8" x14ac:dyDescent="0.3">
      <c r="A319" s="6">
        <v>318</v>
      </c>
      <c r="B319" s="7">
        <v>44514</v>
      </c>
      <c r="C319" s="8" t="s">
        <v>20</v>
      </c>
      <c r="D319" s="8" t="s">
        <v>12</v>
      </c>
      <c r="E319" s="8" t="s">
        <v>21</v>
      </c>
      <c r="F319" s="9">
        <v>3</v>
      </c>
      <c r="G319" s="9">
        <v>190</v>
      </c>
      <c r="H319" s="9">
        <f t="shared" si="4"/>
        <v>570</v>
      </c>
    </row>
    <row r="320" spans="1:8" x14ac:dyDescent="0.3">
      <c r="A320" s="6">
        <v>319</v>
      </c>
      <c r="B320" s="7">
        <v>44515</v>
      </c>
      <c r="C320" s="8" t="s">
        <v>20</v>
      </c>
      <c r="D320" s="8" t="s">
        <v>22</v>
      </c>
      <c r="E320" s="8" t="s">
        <v>10</v>
      </c>
      <c r="F320" s="9">
        <v>2</v>
      </c>
      <c r="G320" s="9">
        <v>210</v>
      </c>
      <c r="H320" s="9">
        <f t="shared" si="4"/>
        <v>420</v>
      </c>
    </row>
    <row r="321" spans="1:8" x14ac:dyDescent="0.3">
      <c r="A321" s="6">
        <v>320</v>
      </c>
      <c r="B321" s="7">
        <v>44516</v>
      </c>
      <c r="C321" s="8" t="s">
        <v>20</v>
      </c>
      <c r="D321" s="8" t="s">
        <v>23</v>
      </c>
      <c r="E321" s="8" t="s">
        <v>10</v>
      </c>
      <c r="F321" s="9">
        <v>2</v>
      </c>
      <c r="G321" s="9">
        <v>210</v>
      </c>
      <c r="H321" s="9">
        <f t="shared" si="4"/>
        <v>420</v>
      </c>
    </row>
    <row r="322" spans="1:8" x14ac:dyDescent="0.3">
      <c r="A322" s="6">
        <v>321</v>
      </c>
      <c r="B322" s="7">
        <v>44517</v>
      </c>
      <c r="C322" s="8" t="s">
        <v>20</v>
      </c>
      <c r="D322" s="8" t="s">
        <v>9</v>
      </c>
      <c r="E322" s="8" t="s">
        <v>10</v>
      </c>
      <c r="F322" s="9">
        <v>2</v>
      </c>
      <c r="G322" s="9">
        <v>210</v>
      </c>
      <c r="H322" s="9">
        <f t="shared" si="4"/>
        <v>420</v>
      </c>
    </row>
    <row r="323" spans="1:8" x14ac:dyDescent="0.3">
      <c r="A323" s="6">
        <v>322</v>
      </c>
      <c r="B323" s="7">
        <v>44518</v>
      </c>
      <c r="C323" s="8" t="s">
        <v>20</v>
      </c>
      <c r="D323" s="8" t="s">
        <v>12</v>
      </c>
      <c r="E323" s="8" t="s">
        <v>10</v>
      </c>
      <c r="F323" s="9">
        <v>2</v>
      </c>
      <c r="G323" s="9">
        <v>210</v>
      </c>
      <c r="H323" s="9">
        <f t="shared" ref="H323:H367" si="5">F323*G323</f>
        <v>420</v>
      </c>
    </row>
    <row r="324" spans="1:8" x14ac:dyDescent="0.3">
      <c r="A324" s="6">
        <v>323</v>
      </c>
      <c r="B324" s="7">
        <v>44519</v>
      </c>
      <c r="C324" s="8" t="s">
        <v>20</v>
      </c>
      <c r="D324" s="8" t="s">
        <v>22</v>
      </c>
      <c r="E324" s="8" t="s">
        <v>10</v>
      </c>
      <c r="F324" s="9">
        <v>2</v>
      </c>
      <c r="G324" s="9">
        <v>210</v>
      </c>
      <c r="H324" s="9">
        <f t="shared" si="5"/>
        <v>420</v>
      </c>
    </row>
    <row r="325" spans="1:8" x14ac:dyDescent="0.3">
      <c r="A325" s="6">
        <v>324</v>
      </c>
      <c r="B325" s="7">
        <v>44520</v>
      </c>
      <c r="C325" s="8" t="s">
        <v>20</v>
      </c>
      <c r="D325" s="8" t="s">
        <v>23</v>
      </c>
      <c r="E325" s="8" t="s">
        <v>10</v>
      </c>
      <c r="F325" s="9">
        <v>2</v>
      </c>
      <c r="G325" s="9">
        <v>210</v>
      </c>
      <c r="H325" s="9">
        <f t="shared" si="5"/>
        <v>420</v>
      </c>
    </row>
    <row r="326" spans="1:8" x14ac:dyDescent="0.3">
      <c r="A326" s="6">
        <v>325</v>
      </c>
      <c r="B326" s="7">
        <v>44521</v>
      </c>
      <c r="C326" s="8" t="s">
        <v>8</v>
      </c>
      <c r="D326" s="8" t="s">
        <v>9</v>
      </c>
      <c r="E326" s="8" t="s">
        <v>10</v>
      </c>
      <c r="F326" s="9">
        <v>2</v>
      </c>
      <c r="G326" s="9">
        <v>210</v>
      </c>
      <c r="H326" s="9">
        <f t="shared" si="5"/>
        <v>420</v>
      </c>
    </row>
    <row r="327" spans="1:8" x14ac:dyDescent="0.3">
      <c r="A327" s="6">
        <v>326</v>
      </c>
      <c r="B327" s="7">
        <v>44522</v>
      </c>
      <c r="C327" s="8" t="s">
        <v>11</v>
      </c>
      <c r="D327" s="8" t="s">
        <v>12</v>
      </c>
      <c r="E327" s="8" t="s">
        <v>10</v>
      </c>
      <c r="F327" s="9">
        <v>2</v>
      </c>
      <c r="G327" s="9">
        <v>210</v>
      </c>
      <c r="H327" s="9">
        <f t="shared" si="5"/>
        <v>420</v>
      </c>
    </row>
    <row r="328" spans="1:8" x14ac:dyDescent="0.3">
      <c r="A328" s="6">
        <v>327</v>
      </c>
      <c r="B328" s="7">
        <v>44523</v>
      </c>
      <c r="C328" s="8" t="s">
        <v>14</v>
      </c>
      <c r="D328" s="8" t="s">
        <v>9</v>
      </c>
      <c r="E328" s="8" t="s">
        <v>10</v>
      </c>
      <c r="F328" s="9">
        <v>2</v>
      </c>
      <c r="G328" s="9">
        <v>210</v>
      </c>
      <c r="H328" s="9">
        <f t="shared" si="5"/>
        <v>420</v>
      </c>
    </row>
    <row r="329" spans="1:8" x14ac:dyDescent="0.3">
      <c r="A329" s="6">
        <v>328</v>
      </c>
      <c r="B329" s="7">
        <v>44524</v>
      </c>
      <c r="C329" s="8" t="s">
        <v>16</v>
      </c>
      <c r="D329" s="8" t="s">
        <v>12</v>
      </c>
      <c r="E329" s="8" t="s">
        <v>10</v>
      </c>
      <c r="F329" s="9">
        <v>2</v>
      </c>
      <c r="G329" s="9">
        <v>210</v>
      </c>
      <c r="H329" s="9">
        <f t="shared" si="5"/>
        <v>420</v>
      </c>
    </row>
    <row r="330" spans="1:8" x14ac:dyDescent="0.3">
      <c r="A330" s="6">
        <v>329</v>
      </c>
      <c r="B330" s="7">
        <v>44525</v>
      </c>
      <c r="C330" s="8" t="s">
        <v>18</v>
      </c>
      <c r="D330" s="8" t="s">
        <v>9</v>
      </c>
      <c r="E330" s="8" t="s">
        <v>10</v>
      </c>
      <c r="F330" s="9">
        <v>2</v>
      </c>
      <c r="G330" s="9">
        <v>210</v>
      </c>
      <c r="H330" s="9">
        <f t="shared" si="5"/>
        <v>420</v>
      </c>
    </row>
    <row r="331" spans="1:8" x14ac:dyDescent="0.3">
      <c r="A331" s="6">
        <v>330</v>
      </c>
      <c r="B331" s="7">
        <v>44526</v>
      </c>
      <c r="C331" s="8" t="s">
        <v>20</v>
      </c>
      <c r="D331" s="8" t="s">
        <v>9</v>
      </c>
      <c r="E331" s="8" t="s">
        <v>10</v>
      </c>
      <c r="F331" s="9">
        <v>2</v>
      </c>
      <c r="G331" s="9">
        <v>210</v>
      </c>
      <c r="H331" s="9">
        <f t="shared" si="5"/>
        <v>420</v>
      </c>
    </row>
    <row r="332" spans="1:8" x14ac:dyDescent="0.3">
      <c r="A332" s="6">
        <v>331</v>
      </c>
      <c r="B332" s="7">
        <v>44527</v>
      </c>
      <c r="C332" s="8" t="s">
        <v>8</v>
      </c>
      <c r="D332" s="8" t="s">
        <v>9</v>
      </c>
      <c r="E332" s="8" t="s">
        <v>21</v>
      </c>
      <c r="F332" s="9">
        <v>2</v>
      </c>
      <c r="G332" s="9">
        <v>190</v>
      </c>
      <c r="H332" s="9">
        <f t="shared" si="5"/>
        <v>380</v>
      </c>
    </row>
    <row r="333" spans="1:8" x14ac:dyDescent="0.3">
      <c r="A333" s="6">
        <v>332</v>
      </c>
      <c r="B333" s="7">
        <v>44528</v>
      </c>
      <c r="C333" s="8" t="s">
        <v>11</v>
      </c>
      <c r="D333" s="8" t="s">
        <v>12</v>
      </c>
      <c r="E333" s="8" t="s">
        <v>10</v>
      </c>
      <c r="F333" s="9">
        <v>7</v>
      </c>
      <c r="G333" s="9">
        <v>210</v>
      </c>
      <c r="H333" s="9">
        <f t="shared" si="5"/>
        <v>1470</v>
      </c>
    </row>
    <row r="334" spans="1:8" x14ac:dyDescent="0.3">
      <c r="A334" s="6">
        <v>333</v>
      </c>
      <c r="B334" s="7">
        <v>44529</v>
      </c>
      <c r="C334" s="8" t="s">
        <v>14</v>
      </c>
      <c r="D334" s="8" t="s">
        <v>12</v>
      </c>
      <c r="E334" s="8" t="s">
        <v>13</v>
      </c>
      <c r="F334" s="9">
        <v>6</v>
      </c>
      <c r="G334" s="9">
        <v>2100</v>
      </c>
      <c r="H334" s="9">
        <f t="shared" si="5"/>
        <v>12600</v>
      </c>
    </row>
    <row r="335" spans="1:8" x14ac:dyDescent="0.3">
      <c r="A335" s="6">
        <v>334</v>
      </c>
      <c r="B335" s="7">
        <v>44530</v>
      </c>
      <c r="C335" s="8" t="s">
        <v>16</v>
      </c>
      <c r="D335" s="8" t="s">
        <v>9</v>
      </c>
      <c r="E335" s="8" t="s">
        <v>15</v>
      </c>
      <c r="F335" s="9">
        <v>5</v>
      </c>
      <c r="G335" s="9">
        <v>1200</v>
      </c>
      <c r="H335" s="9">
        <f t="shared" si="5"/>
        <v>6000</v>
      </c>
    </row>
    <row r="336" spans="1:8" x14ac:dyDescent="0.3">
      <c r="A336" s="6">
        <v>335</v>
      </c>
      <c r="B336" s="7">
        <v>44531</v>
      </c>
      <c r="C336" s="8" t="s">
        <v>18</v>
      </c>
      <c r="D336" s="8" t="s">
        <v>9</v>
      </c>
      <c r="E336" s="8" t="s">
        <v>17</v>
      </c>
      <c r="F336" s="9">
        <v>4</v>
      </c>
      <c r="G336" s="9">
        <v>1500</v>
      </c>
      <c r="H336" s="9">
        <f t="shared" si="5"/>
        <v>6000</v>
      </c>
    </row>
    <row r="337" spans="1:8" x14ac:dyDescent="0.3">
      <c r="A337" s="6">
        <v>336</v>
      </c>
      <c r="B337" s="7">
        <v>44532</v>
      </c>
      <c r="C337" s="8" t="s">
        <v>20</v>
      </c>
      <c r="D337" s="8" t="s">
        <v>12</v>
      </c>
      <c r="E337" s="8" t="s">
        <v>17</v>
      </c>
      <c r="F337" s="9">
        <v>4</v>
      </c>
      <c r="G337" s="9">
        <v>1500</v>
      </c>
      <c r="H337" s="9">
        <f t="shared" si="5"/>
        <v>6000</v>
      </c>
    </row>
    <row r="338" spans="1:8" x14ac:dyDescent="0.3">
      <c r="A338" s="6">
        <v>337</v>
      </c>
      <c r="B338" s="7">
        <v>44533</v>
      </c>
      <c r="C338" s="8" t="s">
        <v>20</v>
      </c>
      <c r="D338" s="8" t="s">
        <v>9</v>
      </c>
      <c r="E338" s="8" t="s">
        <v>17</v>
      </c>
      <c r="F338" s="9">
        <v>4</v>
      </c>
      <c r="G338" s="9">
        <v>1500</v>
      </c>
      <c r="H338" s="9">
        <f t="shared" si="5"/>
        <v>6000</v>
      </c>
    </row>
    <row r="339" spans="1:8" x14ac:dyDescent="0.3">
      <c r="A339" s="6">
        <v>338</v>
      </c>
      <c r="B339" s="7">
        <v>44534</v>
      </c>
      <c r="C339" s="8" t="s">
        <v>8</v>
      </c>
      <c r="D339" s="8" t="s">
        <v>9</v>
      </c>
      <c r="E339" s="8" t="s">
        <v>17</v>
      </c>
      <c r="F339" s="9">
        <v>4</v>
      </c>
      <c r="G339" s="9">
        <v>1500</v>
      </c>
      <c r="H339" s="9">
        <f t="shared" si="5"/>
        <v>6000</v>
      </c>
    </row>
    <row r="340" spans="1:8" x14ac:dyDescent="0.3">
      <c r="A340" s="6">
        <v>339</v>
      </c>
      <c r="B340" s="7">
        <v>44535</v>
      </c>
      <c r="C340" s="8" t="s">
        <v>11</v>
      </c>
      <c r="D340" s="8" t="s">
        <v>9</v>
      </c>
      <c r="E340" s="8" t="s">
        <v>17</v>
      </c>
      <c r="F340" s="9">
        <v>4</v>
      </c>
      <c r="G340" s="9">
        <v>1500</v>
      </c>
      <c r="H340" s="9">
        <f t="shared" si="5"/>
        <v>6000</v>
      </c>
    </row>
    <row r="341" spans="1:8" x14ac:dyDescent="0.3">
      <c r="A341" s="6">
        <v>340</v>
      </c>
      <c r="B341" s="7">
        <v>44536</v>
      </c>
      <c r="C341" s="8" t="s">
        <v>14</v>
      </c>
      <c r="D341" s="8" t="s">
        <v>9</v>
      </c>
      <c r="E341" s="8" t="s">
        <v>17</v>
      </c>
      <c r="F341" s="9">
        <v>4</v>
      </c>
      <c r="G341" s="9">
        <v>1500</v>
      </c>
      <c r="H341" s="9">
        <f t="shared" si="5"/>
        <v>6000</v>
      </c>
    </row>
    <row r="342" spans="1:8" x14ac:dyDescent="0.3">
      <c r="A342" s="6">
        <v>341</v>
      </c>
      <c r="B342" s="7">
        <v>44537</v>
      </c>
      <c r="C342" s="8" t="s">
        <v>16</v>
      </c>
      <c r="D342" s="8" t="s">
        <v>9</v>
      </c>
      <c r="E342" s="8" t="s">
        <v>17</v>
      </c>
      <c r="F342" s="9">
        <v>4</v>
      </c>
      <c r="G342" s="9">
        <v>1500</v>
      </c>
      <c r="H342" s="9">
        <f t="shared" si="5"/>
        <v>6000</v>
      </c>
    </row>
    <row r="343" spans="1:8" x14ac:dyDescent="0.3">
      <c r="A343" s="6">
        <v>342</v>
      </c>
      <c r="B343" s="7">
        <v>44538</v>
      </c>
      <c r="C343" s="8" t="s">
        <v>18</v>
      </c>
      <c r="D343" s="8" t="s">
        <v>9</v>
      </c>
      <c r="E343" s="8" t="s">
        <v>17</v>
      </c>
      <c r="F343" s="9">
        <v>4</v>
      </c>
      <c r="G343" s="9">
        <v>1500</v>
      </c>
      <c r="H343" s="9">
        <f t="shared" si="5"/>
        <v>6000</v>
      </c>
    </row>
    <row r="344" spans="1:8" x14ac:dyDescent="0.3">
      <c r="A344" s="6">
        <v>343</v>
      </c>
      <c r="B344" s="7">
        <v>44539</v>
      </c>
      <c r="C344" s="8" t="s">
        <v>20</v>
      </c>
      <c r="D344" s="8" t="s">
        <v>9</v>
      </c>
      <c r="E344" s="8" t="s">
        <v>17</v>
      </c>
      <c r="F344" s="9">
        <v>4</v>
      </c>
      <c r="G344" s="9">
        <v>1500</v>
      </c>
      <c r="H344" s="9">
        <f t="shared" si="5"/>
        <v>6000</v>
      </c>
    </row>
    <row r="345" spans="1:8" x14ac:dyDescent="0.3">
      <c r="A345" s="6">
        <v>344</v>
      </c>
      <c r="B345" s="7">
        <v>44540</v>
      </c>
      <c r="C345" s="8" t="s">
        <v>8</v>
      </c>
      <c r="D345" s="8" t="s">
        <v>9</v>
      </c>
      <c r="E345" s="8" t="s">
        <v>10</v>
      </c>
      <c r="F345" s="9">
        <v>2</v>
      </c>
      <c r="G345" s="9">
        <v>210</v>
      </c>
      <c r="H345" s="9">
        <f t="shared" si="5"/>
        <v>420</v>
      </c>
    </row>
    <row r="346" spans="1:8" x14ac:dyDescent="0.3">
      <c r="A346" s="6">
        <v>345</v>
      </c>
      <c r="B346" s="7">
        <v>44541</v>
      </c>
      <c r="C346" s="8" t="s">
        <v>11</v>
      </c>
      <c r="D346" s="8" t="s">
        <v>12</v>
      </c>
      <c r="E346" s="8" t="s">
        <v>15</v>
      </c>
      <c r="F346" s="9">
        <v>7</v>
      </c>
      <c r="G346" s="9">
        <v>2100</v>
      </c>
      <c r="H346" s="9">
        <f t="shared" si="5"/>
        <v>14700</v>
      </c>
    </row>
    <row r="347" spans="1:8" x14ac:dyDescent="0.3">
      <c r="A347" s="6">
        <v>346</v>
      </c>
      <c r="B347" s="7">
        <v>44542</v>
      </c>
      <c r="C347" s="8" t="s">
        <v>14</v>
      </c>
      <c r="D347" s="8" t="s">
        <v>9</v>
      </c>
      <c r="E347" s="8" t="s">
        <v>17</v>
      </c>
      <c r="F347" s="9">
        <v>6</v>
      </c>
      <c r="G347" s="9">
        <v>1200</v>
      </c>
      <c r="H347" s="9">
        <f t="shared" si="5"/>
        <v>7200</v>
      </c>
    </row>
    <row r="348" spans="1:8" x14ac:dyDescent="0.3">
      <c r="A348" s="6">
        <v>347</v>
      </c>
      <c r="B348" s="7">
        <v>44543</v>
      </c>
      <c r="C348" s="8" t="s">
        <v>16</v>
      </c>
      <c r="D348" s="8" t="s">
        <v>12</v>
      </c>
      <c r="E348" s="8" t="s">
        <v>19</v>
      </c>
      <c r="F348" s="9">
        <v>5</v>
      </c>
      <c r="G348" s="9">
        <v>300</v>
      </c>
      <c r="H348" s="9">
        <f t="shared" si="5"/>
        <v>1500</v>
      </c>
    </row>
    <row r="349" spans="1:8" x14ac:dyDescent="0.3">
      <c r="A349" s="6">
        <v>348</v>
      </c>
      <c r="B349" s="7">
        <v>44544</v>
      </c>
      <c r="C349" s="8" t="s">
        <v>18</v>
      </c>
      <c r="D349" s="8" t="s">
        <v>9</v>
      </c>
      <c r="E349" s="8" t="s">
        <v>21</v>
      </c>
      <c r="F349" s="9">
        <v>4</v>
      </c>
      <c r="G349" s="9">
        <v>200</v>
      </c>
      <c r="H349" s="9">
        <f t="shared" si="5"/>
        <v>800</v>
      </c>
    </row>
    <row r="350" spans="1:8" x14ac:dyDescent="0.3">
      <c r="A350" s="6">
        <v>349</v>
      </c>
      <c r="B350" s="7">
        <v>44545</v>
      </c>
      <c r="C350" s="8" t="s">
        <v>20</v>
      </c>
      <c r="D350" s="8" t="s">
        <v>9</v>
      </c>
      <c r="E350" s="8" t="s">
        <v>10</v>
      </c>
      <c r="F350" s="9">
        <v>3</v>
      </c>
      <c r="G350" s="9">
        <v>190</v>
      </c>
      <c r="H350" s="9">
        <f t="shared" si="5"/>
        <v>570</v>
      </c>
    </row>
    <row r="351" spans="1:8" x14ac:dyDescent="0.3">
      <c r="A351" s="6">
        <v>350</v>
      </c>
      <c r="B351" s="7">
        <v>44546</v>
      </c>
      <c r="C351" s="8" t="s">
        <v>20</v>
      </c>
      <c r="D351" s="8" t="s">
        <v>9</v>
      </c>
      <c r="E351" s="8" t="s">
        <v>13</v>
      </c>
      <c r="F351" s="9">
        <v>2</v>
      </c>
      <c r="G351" s="9">
        <v>2100</v>
      </c>
      <c r="H351" s="9">
        <f t="shared" si="5"/>
        <v>4200</v>
      </c>
    </row>
    <row r="352" spans="1:8" x14ac:dyDescent="0.3">
      <c r="A352" s="6">
        <v>351</v>
      </c>
      <c r="B352" s="7">
        <v>44547</v>
      </c>
      <c r="C352" s="8" t="s">
        <v>8</v>
      </c>
      <c r="D352" s="8" t="s">
        <v>9</v>
      </c>
      <c r="E352" s="8" t="s">
        <v>10</v>
      </c>
      <c r="F352" s="9">
        <v>7</v>
      </c>
      <c r="G352" s="9">
        <v>210</v>
      </c>
      <c r="H352" s="9">
        <f t="shared" si="5"/>
        <v>1470</v>
      </c>
    </row>
    <row r="353" spans="1:8" x14ac:dyDescent="0.3">
      <c r="A353" s="6">
        <v>352</v>
      </c>
      <c r="B353" s="7">
        <v>44548</v>
      </c>
      <c r="C353" s="8" t="s">
        <v>8</v>
      </c>
      <c r="D353" s="8" t="s">
        <v>12</v>
      </c>
      <c r="E353" s="8" t="s">
        <v>13</v>
      </c>
      <c r="F353" s="9">
        <v>6</v>
      </c>
      <c r="G353" s="9">
        <v>2100</v>
      </c>
      <c r="H353" s="9">
        <f t="shared" si="5"/>
        <v>12600</v>
      </c>
    </row>
    <row r="354" spans="1:8" x14ac:dyDescent="0.3">
      <c r="A354" s="6">
        <v>353</v>
      </c>
      <c r="B354" s="7">
        <v>44549</v>
      </c>
      <c r="C354" s="8" t="s">
        <v>8</v>
      </c>
      <c r="D354" s="8" t="s">
        <v>22</v>
      </c>
      <c r="E354" s="8" t="s">
        <v>15</v>
      </c>
      <c r="F354" s="9">
        <v>5</v>
      </c>
      <c r="G354" s="9">
        <v>1200</v>
      </c>
      <c r="H354" s="9">
        <f t="shared" si="5"/>
        <v>6000</v>
      </c>
    </row>
    <row r="355" spans="1:8" x14ac:dyDescent="0.3">
      <c r="A355" s="6">
        <v>354</v>
      </c>
      <c r="B355" s="7">
        <v>44550</v>
      </c>
      <c r="C355" s="8" t="s">
        <v>8</v>
      </c>
      <c r="D355" s="8" t="s">
        <v>23</v>
      </c>
      <c r="E355" s="8" t="s">
        <v>17</v>
      </c>
      <c r="F355" s="9">
        <v>4</v>
      </c>
      <c r="G355" s="9">
        <v>1500</v>
      </c>
      <c r="H355" s="9">
        <f t="shared" si="5"/>
        <v>6000</v>
      </c>
    </row>
    <row r="356" spans="1:8" x14ac:dyDescent="0.3">
      <c r="A356" s="6">
        <v>355</v>
      </c>
      <c r="B356" s="7">
        <v>44551</v>
      </c>
      <c r="C356" s="8" t="s">
        <v>8</v>
      </c>
      <c r="D356" s="8" t="s">
        <v>9</v>
      </c>
      <c r="E356" s="8" t="s">
        <v>19</v>
      </c>
      <c r="F356" s="9">
        <v>3</v>
      </c>
      <c r="G356" s="9">
        <v>300</v>
      </c>
      <c r="H356" s="9">
        <f t="shared" si="5"/>
        <v>900</v>
      </c>
    </row>
    <row r="357" spans="1:8" x14ac:dyDescent="0.3">
      <c r="A357" s="6">
        <v>356</v>
      </c>
      <c r="B357" s="7">
        <v>44552</v>
      </c>
      <c r="C357" s="8" t="s">
        <v>8</v>
      </c>
      <c r="D357" s="8" t="s">
        <v>12</v>
      </c>
      <c r="E357" s="8" t="s">
        <v>21</v>
      </c>
      <c r="F357" s="9">
        <v>2</v>
      </c>
      <c r="G357" s="9">
        <v>190</v>
      </c>
      <c r="H357" s="9">
        <f t="shared" si="5"/>
        <v>380</v>
      </c>
    </row>
    <row r="358" spans="1:8" x14ac:dyDescent="0.3">
      <c r="A358" s="6">
        <v>357</v>
      </c>
      <c r="B358" s="7">
        <v>44553</v>
      </c>
      <c r="C358" s="8" t="s">
        <v>8</v>
      </c>
      <c r="D358" s="8" t="s">
        <v>22</v>
      </c>
      <c r="E358" s="8" t="s">
        <v>10</v>
      </c>
      <c r="F358" s="9">
        <v>7</v>
      </c>
      <c r="G358" s="9">
        <v>210</v>
      </c>
      <c r="H358" s="9">
        <f t="shared" si="5"/>
        <v>1470</v>
      </c>
    </row>
    <row r="359" spans="1:8" x14ac:dyDescent="0.3">
      <c r="A359" s="6">
        <v>358</v>
      </c>
      <c r="B359" s="7">
        <v>44554</v>
      </c>
      <c r="C359" s="8" t="s">
        <v>8</v>
      </c>
      <c r="D359" s="8" t="s">
        <v>23</v>
      </c>
      <c r="E359" s="8" t="s">
        <v>13</v>
      </c>
      <c r="F359" s="9">
        <v>6</v>
      </c>
      <c r="G359" s="9">
        <v>2100</v>
      </c>
      <c r="H359" s="9">
        <f t="shared" si="5"/>
        <v>12600</v>
      </c>
    </row>
    <row r="360" spans="1:8" x14ac:dyDescent="0.3">
      <c r="A360" s="6">
        <v>359</v>
      </c>
      <c r="B360" s="7">
        <v>44555</v>
      </c>
      <c r="C360" s="8" t="s">
        <v>11</v>
      </c>
      <c r="D360" s="8" t="s">
        <v>12</v>
      </c>
      <c r="E360" s="8" t="s">
        <v>13</v>
      </c>
      <c r="F360" s="9">
        <v>6</v>
      </c>
      <c r="G360" s="9">
        <v>2100</v>
      </c>
      <c r="H360" s="9">
        <f t="shared" si="5"/>
        <v>12600</v>
      </c>
    </row>
    <row r="361" spans="1:8" x14ac:dyDescent="0.3">
      <c r="A361" s="6">
        <v>360</v>
      </c>
      <c r="B361" s="7">
        <v>44556</v>
      </c>
      <c r="C361" s="8" t="s">
        <v>11</v>
      </c>
      <c r="D361" s="8" t="s">
        <v>9</v>
      </c>
      <c r="E361" s="8" t="s">
        <v>13</v>
      </c>
      <c r="F361" s="9">
        <v>6</v>
      </c>
      <c r="G361" s="9">
        <v>2100</v>
      </c>
      <c r="H361" s="9">
        <f t="shared" si="5"/>
        <v>12600</v>
      </c>
    </row>
    <row r="362" spans="1:8" x14ac:dyDescent="0.3">
      <c r="A362" s="6">
        <v>361</v>
      </c>
      <c r="B362" s="7">
        <v>44557</v>
      </c>
      <c r="C362" s="8" t="s">
        <v>11</v>
      </c>
      <c r="D362" s="8" t="s">
        <v>22</v>
      </c>
      <c r="E362" s="8" t="s">
        <v>13</v>
      </c>
      <c r="F362" s="9">
        <v>6</v>
      </c>
      <c r="G362" s="9">
        <v>2100</v>
      </c>
      <c r="H362" s="9">
        <f t="shared" si="5"/>
        <v>12600</v>
      </c>
    </row>
    <row r="363" spans="1:8" x14ac:dyDescent="0.3">
      <c r="A363" s="6">
        <v>362</v>
      </c>
      <c r="B363" s="7">
        <v>44558</v>
      </c>
      <c r="C363" s="8" t="s">
        <v>11</v>
      </c>
      <c r="D363" s="8" t="s">
        <v>23</v>
      </c>
      <c r="E363" s="8" t="s">
        <v>13</v>
      </c>
      <c r="F363" s="9">
        <v>6</v>
      </c>
      <c r="G363" s="9">
        <v>2100</v>
      </c>
      <c r="H363" s="9">
        <f t="shared" si="5"/>
        <v>12600</v>
      </c>
    </row>
    <row r="364" spans="1:8" x14ac:dyDescent="0.3">
      <c r="A364" s="6">
        <v>363</v>
      </c>
      <c r="B364" s="7">
        <v>44559</v>
      </c>
      <c r="C364" s="8" t="s">
        <v>11</v>
      </c>
      <c r="D364" s="8" t="s">
        <v>12</v>
      </c>
      <c r="E364" s="8" t="s">
        <v>13</v>
      </c>
      <c r="F364" s="9">
        <v>6</v>
      </c>
      <c r="G364" s="9">
        <v>2100</v>
      </c>
      <c r="H364" s="9">
        <f t="shared" si="5"/>
        <v>12600</v>
      </c>
    </row>
    <row r="365" spans="1:8" x14ac:dyDescent="0.3">
      <c r="A365" s="6">
        <v>364</v>
      </c>
      <c r="B365" s="7">
        <v>44560</v>
      </c>
      <c r="C365" s="8" t="s">
        <v>11</v>
      </c>
      <c r="D365" s="8" t="s">
        <v>9</v>
      </c>
      <c r="E365" s="8" t="s">
        <v>13</v>
      </c>
      <c r="F365" s="9">
        <v>6</v>
      </c>
      <c r="G365" s="9">
        <v>2100</v>
      </c>
      <c r="H365" s="9">
        <f t="shared" si="5"/>
        <v>12600</v>
      </c>
    </row>
    <row r="366" spans="1:8" x14ac:dyDescent="0.3">
      <c r="A366" s="6">
        <v>365</v>
      </c>
      <c r="B366" s="7">
        <v>44561</v>
      </c>
      <c r="C366" s="8" t="s">
        <v>11</v>
      </c>
      <c r="D366" s="8" t="s">
        <v>22</v>
      </c>
      <c r="E366" s="8" t="s">
        <v>15</v>
      </c>
      <c r="F366" s="9">
        <v>6</v>
      </c>
      <c r="G366" s="9">
        <v>1200</v>
      </c>
      <c r="H366" s="9">
        <f t="shared" si="5"/>
        <v>7200</v>
      </c>
    </row>
    <row r="367" spans="1:8" x14ac:dyDescent="0.3">
      <c r="A367" s="6">
        <v>366</v>
      </c>
      <c r="B367" s="7">
        <v>44562</v>
      </c>
      <c r="C367" s="8" t="s">
        <v>11</v>
      </c>
      <c r="D367" s="8" t="s">
        <v>23</v>
      </c>
      <c r="E367" s="8" t="s">
        <v>17</v>
      </c>
      <c r="F367" s="9">
        <v>5</v>
      </c>
      <c r="G367" s="9">
        <v>1500</v>
      </c>
      <c r="H367" s="9">
        <f t="shared" si="5"/>
        <v>7500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59"/>
  <sheetViews>
    <sheetView zoomScaleNormal="100" workbookViewId="0">
      <selection activeCell="B21" sqref="B21"/>
    </sheetView>
  </sheetViews>
  <sheetFormatPr defaultRowHeight="15" x14ac:dyDescent="0.25"/>
  <cols>
    <col min="1" max="2" width="12.5703125" customWidth="1"/>
    <col min="3" max="3" width="14.42578125" bestFit="1" customWidth="1"/>
    <col min="4" max="4" width="12.5703125" bestFit="1" customWidth="1"/>
    <col min="5" max="6" width="14.42578125" bestFit="1" customWidth="1"/>
    <col min="7" max="7" width="10.42578125" bestFit="1" customWidth="1"/>
    <col min="9" max="9" width="12.5703125" bestFit="1" customWidth="1"/>
    <col min="10" max="10" width="10.42578125" bestFit="1" customWidth="1"/>
    <col min="12" max="12" width="13.140625" bestFit="1" customWidth="1"/>
    <col min="13" max="13" width="10.7109375" bestFit="1" customWidth="1"/>
  </cols>
  <sheetData>
    <row r="2" spans="1:5" x14ac:dyDescent="0.25">
      <c r="A2" s="11" t="s">
        <v>24</v>
      </c>
      <c r="B2" t="s">
        <v>26</v>
      </c>
      <c r="D2" s="11" t="s">
        <v>24</v>
      </c>
      <c r="E2" t="s">
        <v>26</v>
      </c>
    </row>
    <row r="3" spans="1:5" x14ac:dyDescent="0.25">
      <c r="A3" s="12" t="s">
        <v>9</v>
      </c>
      <c r="B3" s="27">
        <v>736080</v>
      </c>
      <c r="D3" s="12" t="s">
        <v>9</v>
      </c>
      <c r="E3" s="27">
        <v>736080</v>
      </c>
    </row>
    <row r="4" spans="1:5" x14ac:dyDescent="0.25">
      <c r="A4" s="12" t="s">
        <v>22</v>
      </c>
      <c r="B4" s="27">
        <v>203680</v>
      </c>
      <c r="D4" s="12" t="s">
        <v>22</v>
      </c>
      <c r="E4" s="27">
        <v>203680</v>
      </c>
    </row>
    <row r="5" spans="1:5" x14ac:dyDescent="0.25">
      <c r="A5" s="12" t="s">
        <v>23</v>
      </c>
      <c r="B5" s="27">
        <v>335480</v>
      </c>
      <c r="D5" s="12" t="s">
        <v>23</v>
      </c>
      <c r="E5" s="27">
        <v>335480</v>
      </c>
    </row>
    <row r="6" spans="1:5" x14ac:dyDescent="0.25">
      <c r="A6" s="12" t="s">
        <v>12</v>
      </c>
      <c r="B6" s="27">
        <v>507330</v>
      </c>
      <c r="D6" s="12" t="s">
        <v>12</v>
      </c>
      <c r="E6" s="27">
        <v>507330</v>
      </c>
    </row>
    <row r="7" spans="1:5" x14ac:dyDescent="0.25">
      <c r="A7" s="12" t="s">
        <v>25</v>
      </c>
      <c r="B7" s="27">
        <v>1782570</v>
      </c>
      <c r="D7" s="12" t="s">
        <v>25</v>
      </c>
      <c r="E7" s="27">
        <v>1782570</v>
      </c>
    </row>
    <row r="11" spans="1:5" x14ac:dyDescent="0.25">
      <c r="A11" s="11" t="s">
        <v>24</v>
      </c>
      <c r="B11" t="s">
        <v>26</v>
      </c>
    </row>
    <row r="12" spans="1:5" x14ac:dyDescent="0.25">
      <c r="A12" s="12" t="s">
        <v>21</v>
      </c>
      <c r="B12" s="13">
        <v>1.4204210774331443E-2</v>
      </c>
    </row>
    <row r="13" spans="1:5" x14ac:dyDescent="0.25">
      <c r="A13" s="12" t="s">
        <v>15</v>
      </c>
      <c r="B13" s="13">
        <v>0.19017485989330013</v>
      </c>
    </row>
    <row r="14" spans="1:5" x14ac:dyDescent="0.25">
      <c r="A14" s="12" t="s">
        <v>10</v>
      </c>
      <c r="B14" s="13">
        <v>3.7109342129621838E-2</v>
      </c>
    </row>
    <row r="15" spans="1:5" x14ac:dyDescent="0.25">
      <c r="A15" s="12" t="s">
        <v>13</v>
      </c>
      <c r="B15" s="13">
        <v>0.52424308722799107</v>
      </c>
    </row>
    <row r="16" spans="1:5" x14ac:dyDescent="0.25">
      <c r="A16" s="12" t="s">
        <v>17</v>
      </c>
      <c r="B16" s="13">
        <v>0.1975798986856056</v>
      </c>
    </row>
    <row r="17" spans="1:6" x14ac:dyDescent="0.25">
      <c r="A17" s="12" t="s">
        <v>19</v>
      </c>
      <c r="B17" s="13">
        <v>3.6688601289149934E-2</v>
      </c>
      <c r="D17" s="15"/>
      <c r="E17" s="16"/>
      <c r="F17" s="17"/>
    </row>
    <row r="18" spans="1:6" x14ac:dyDescent="0.25">
      <c r="A18" s="12" t="s">
        <v>25</v>
      </c>
      <c r="B18" s="13">
        <v>1</v>
      </c>
      <c r="D18" s="18"/>
      <c r="E18" s="19"/>
      <c r="F18" s="20"/>
    </row>
    <row r="19" spans="1:6" x14ac:dyDescent="0.25">
      <c r="D19" s="18"/>
      <c r="E19" s="19"/>
      <c r="F19" s="20"/>
    </row>
    <row r="20" spans="1:6" x14ac:dyDescent="0.25">
      <c r="D20" s="18"/>
      <c r="E20" s="19"/>
      <c r="F20" s="20"/>
    </row>
    <row r="21" spans="1:6" x14ac:dyDescent="0.25">
      <c r="D21" s="18"/>
      <c r="E21" s="19"/>
      <c r="F21" s="20"/>
    </row>
    <row r="22" spans="1:6" x14ac:dyDescent="0.25">
      <c r="D22" s="18"/>
      <c r="E22" s="19"/>
      <c r="F22" s="20"/>
    </row>
    <row r="23" spans="1:6" x14ac:dyDescent="0.25">
      <c r="C23" s="11" t="s">
        <v>24</v>
      </c>
      <c r="D23" s="18"/>
      <c r="E23" s="19"/>
      <c r="F23" s="20"/>
    </row>
    <row r="24" spans="1:6" x14ac:dyDescent="0.25">
      <c r="C24" s="12" t="s">
        <v>27</v>
      </c>
      <c r="D24" s="18"/>
      <c r="E24" s="19"/>
      <c r="F24" s="20"/>
    </row>
    <row r="25" spans="1:6" x14ac:dyDescent="0.25">
      <c r="C25" s="25" t="s">
        <v>28</v>
      </c>
      <c r="D25" s="18"/>
      <c r="E25" s="19"/>
      <c r="F25" s="20"/>
    </row>
    <row r="26" spans="1:6" x14ac:dyDescent="0.25">
      <c r="C26" s="25" t="s">
        <v>32</v>
      </c>
      <c r="D26" s="18"/>
      <c r="E26" s="19"/>
      <c r="F26" s="20"/>
    </row>
    <row r="27" spans="1:6" x14ac:dyDescent="0.25">
      <c r="C27" s="25" t="s">
        <v>36</v>
      </c>
      <c r="D27" s="18"/>
      <c r="E27" s="19"/>
      <c r="F27" s="20"/>
    </row>
    <row r="28" spans="1:6" x14ac:dyDescent="0.25">
      <c r="C28" s="25" t="s">
        <v>40</v>
      </c>
      <c r="D28" s="18"/>
      <c r="E28" s="19"/>
      <c r="F28" s="20"/>
    </row>
    <row r="29" spans="1:6" x14ac:dyDescent="0.25">
      <c r="C29" s="12" t="s">
        <v>44</v>
      </c>
      <c r="D29" s="18"/>
      <c r="E29" s="19"/>
      <c r="F29" s="20"/>
    </row>
    <row r="30" spans="1:6" x14ac:dyDescent="0.25">
      <c r="C30" s="25" t="s">
        <v>28</v>
      </c>
      <c r="D30" s="18"/>
      <c r="E30" s="19"/>
      <c r="F30" s="20"/>
    </row>
    <row r="31" spans="1:6" x14ac:dyDescent="0.25">
      <c r="C31" s="12" t="s">
        <v>25</v>
      </c>
      <c r="D31" s="18"/>
      <c r="E31" s="19"/>
      <c r="F31" s="20"/>
    </row>
    <row r="32" spans="1:6" x14ac:dyDescent="0.25">
      <c r="D32" s="18"/>
      <c r="E32" s="19"/>
      <c r="F32" s="20"/>
    </row>
    <row r="33" spans="2:13" x14ac:dyDescent="0.25">
      <c r="D33" s="18"/>
      <c r="E33" s="19"/>
      <c r="F33" s="20"/>
      <c r="L33" s="11" t="s">
        <v>24</v>
      </c>
      <c r="M33" t="s">
        <v>45</v>
      </c>
    </row>
    <row r="34" spans="2:13" x14ac:dyDescent="0.25">
      <c r="D34" s="21"/>
      <c r="E34" s="22"/>
      <c r="F34" s="23"/>
      <c r="L34" s="24" t="s">
        <v>29</v>
      </c>
      <c r="M34">
        <v>156</v>
      </c>
    </row>
    <row r="35" spans="2:13" x14ac:dyDescent="0.25">
      <c r="L35" s="24" t="s">
        <v>30</v>
      </c>
      <c r="M35">
        <v>167</v>
      </c>
    </row>
    <row r="36" spans="2:13" x14ac:dyDescent="0.25">
      <c r="L36" s="24" t="s">
        <v>31</v>
      </c>
      <c r="M36">
        <v>107</v>
      </c>
    </row>
    <row r="37" spans="2:13" x14ac:dyDescent="0.25">
      <c r="L37" s="24" t="s">
        <v>33</v>
      </c>
      <c r="M37">
        <v>129</v>
      </c>
    </row>
    <row r="38" spans="2:13" x14ac:dyDescent="0.25">
      <c r="L38" s="24" t="s">
        <v>34</v>
      </c>
      <c r="M38">
        <v>133</v>
      </c>
    </row>
    <row r="39" spans="2:13" x14ac:dyDescent="0.25">
      <c r="L39" s="24" t="s">
        <v>35</v>
      </c>
      <c r="M39">
        <v>125</v>
      </c>
    </row>
    <row r="40" spans="2:13" x14ac:dyDescent="0.25">
      <c r="L40" s="24" t="s">
        <v>37</v>
      </c>
      <c r="M40">
        <v>130</v>
      </c>
    </row>
    <row r="41" spans="2:13" x14ac:dyDescent="0.25">
      <c r="L41" s="24" t="s">
        <v>38</v>
      </c>
      <c r="M41">
        <v>139</v>
      </c>
    </row>
    <row r="42" spans="2:13" x14ac:dyDescent="0.25">
      <c r="L42" s="24" t="s">
        <v>39</v>
      </c>
      <c r="M42">
        <v>151</v>
      </c>
    </row>
    <row r="43" spans="2:13" x14ac:dyDescent="0.25">
      <c r="L43" s="24" t="s">
        <v>41</v>
      </c>
      <c r="M43">
        <v>149</v>
      </c>
    </row>
    <row r="44" spans="2:13" x14ac:dyDescent="0.25">
      <c r="L44" s="24" t="s">
        <v>42</v>
      </c>
      <c r="M44">
        <v>74</v>
      </c>
    </row>
    <row r="45" spans="2:13" x14ac:dyDescent="0.25">
      <c r="B45" s="11" t="s">
        <v>24</v>
      </c>
      <c r="C45" t="s">
        <v>26</v>
      </c>
      <c r="L45" s="24" t="s">
        <v>43</v>
      </c>
      <c r="M45">
        <v>147</v>
      </c>
    </row>
    <row r="46" spans="2:13" x14ac:dyDescent="0.25">
      <c r="B46" s="12" t="s">
        <v>21</v>
      </c>
      <c r="C46" s="27">
        <v>25320</v>
      </c>
      <c r="L46" s="24" t="s">
        <v>25</v>
      </c>
      <c r="M46">
        <v>1607</v>
      </c>
    </row>
    <row r="47" spans="2:13" x14ac:dyDescent="0.25">
      <c r="B47" s="12" t="s">
        <v>15</v>
      </c>
      <c r="C47" s="27">
        <v>339000</v>
      </c>
      <c r="E47" s="11" t="s">
        <v>24</v>
      </c>
      <c r="F47" t="s">
        <v>26</v>
      </c>
    </row>
    <row r="48" spans="2:13" x14ac:dyDescent="0.25">
      <c r="B48" s="12" t="s">
        <v>10</v>
      </c>
      <c r="C48" s="26">
        <v>66150</v>
      </c>
      <c r="E48" s="12" t="s">
        <v>9</v>
      </c>
      <c r="F48" s="27">
        <v>736080</v>
      </c>
    </row>
    <row r="49" spans="2:6" x14ac:dyDescent="0.25">
      <c r="B49" s="12" t="s">
        <v>13</v>
      </c>
      <c r="C49" s="26">
        <v>934500</v>
      </c>
      <c r="E49" s="12" t="s">
        <v>22</v>
      </c>
      <c r="F49" s="27">
        <v>203680</v>
      </c>
    </row>
    <row r="50" spans="2:6" x14ac:dyDescent="0.25">
      <c r="B50" s="12" t="s">
        <v>17</v>
      </c>
      <c r="C50" s="26">
        <v>352200</v>
      </c>
      <c r="E50" s="12" t="s">
        <v>23</v>
      </c>
      <c r="F50" s="27">
        <v>335480</v>
      </c>
    </row>
    <row r="51" spans="2:6" x14ac:dyDescent="0.25">
      <c r="B51" s="12" t="s">
        <v>19</v>
      </c>
      <c r="C51" s="26">
        <v>65400</v>
      </c>
      <c r="E51" s="12" t="s">
        <v>12</v>
      </c>
      <c r="F51" s="27">
        <v>507330</v>
      </c>
    </row>
    <row r="52" spans="2:6" x14ac:dyDescent="0.25">
      <c r="B52" s="12" t="s">
        <v>25</v>
      </c>
      <c r="C52" s="26">
        <v>1782570</v>
      </c>
      <c r="E52" s="12" t="s">
        <v>25</v>
      </c>
      <c r="F52" s="27">
        <v>1782570</v>
      </c>
    </row>
    <row r="54" spans="2:6" x14ac:dyDescent="0.25">
      <c r="D54" s="11" t="s">
        <v>24</v>
      </c>
      <c r="E54" t="s">
        <v>26</v>
      </c>
    </row>
    <row r="55" spans="2:6" x14ac:dyDescent="0.25">
      <c r="D55" s="24" t="s">
        <v>29</v>
      </c>
      <c r="E55" s="27">
        <v>143130</v>
      </c>
    </row>
    <row r="56" spans="2:6" x14ac:dyDescent="0.25">
      <c r="D56" s="24" t="s">
        <v>30</v>
      </c>
      <c r="E56" s="27">
        <v>224470</v>
      </c>
    </row>
    <row r="57" spans="2:6" x14ac:dyDescent="0.25">
      <c r="D57" s="24" t="s">
        <v>31</v>
      </c>
      <c r="E57" s="27">
        <v>86100</v>
      </c>
    </row>
    <row r="58" spans="2:6" x14ac:dyDescent="0.25">
      <c r="D58" s="24" t="s">
        <v>33</v>
      </c>
      <c r="E58" s="27">
        <v>153530</v>
      </c>
    </row>
    <row r="59" spans="2:6" x14ac:dyDescent="0.25">
      <c r="D59" s="24" t="s">
        <v>34</v>
      </c>
      <c r="E59" s="27">
        <v>110160</v>
      </c>
    </row>
    <row r="60" spans="2:6" x14ac:dyDescent="0.25">
      <c r="D60" s="24" t="s">
        <v>35</v>
      </c>
      <c r="E60" s="27">
        <v>118530</v>
      </c>
    </row>
    <row r="61" spans="2:6" x14ac:dyDescent="0.25">
      <c r="D61" s="24" t="s">
        <v>37</v>
      </c>
      <c r="E61" s="27">
        <v>130100</v>
      </c>
    </row>
    <row r="62" spans="2:6" x14ac:dyDescent="0.25">
      <c r="D62" s="24" t="s">
        <v>38</v>
      </c>
      <c r="E62" s="27">
        <v>156300</v>
      </c>
    </row>
    <row r="63" spans="2:6" x14ac:dyDescent="0.25">
      <c r="D63" s="24" t="s">
        <v>39</v>
      </c>
      <c r="E63" s="27">
        <v>223770</v>
      </c>
    </row>
    <row r="64" spans="2:6" x14ac:dyDescent="0.25">
      <c r="D64" s="24" t="s">
        <v>41</v>
      </c>
      <c r="E64" s="27">
        <v>197350</v>
      </c>
    </row>
    <row r="65" spans="3:10" x14ac:dyDescent="0.25">
      <c r="D65" s="24" t="s">
        <v>42</v>
      </c>
      <c r="E65" s="27">
        <v>31520</v>
      </c>
    </row>
    <row r="66" spans="3:10" x14ac:dyDescent="0.25">
      <c r="D66" s="24" t="s">
        <v>43</v>
      </c>
      <c r="E66" s="27">
        <v>207610</v>
      </c>
    </row>
    <row r="67" spans="3:10" x14ac:dyDescent="0.25">
      <c r="D67" s="24" t="s">
        <v>25</v>
      </c>
      <c r="E67" s="27">
        <v>1782570</v>
      </c>
    </row>
    <row r="69" spans="3:10" x14ac:dyDescent="0.25">
      <c r="I69" t="s">
        <v>47</v>
      </c>
    </row>
    <row r="71" spans="3:10" x14ac:dyDescent="0.25">
      <c r="I71" s="11" t="s">
        <v>24</v>
      </c>
      <c r="J71" t="s">
        <v>45</v>
      </c>
    </row>
    <row r="72" spans="3:10" x14ac:dyDescent="0.25">
      <c r="I72" s="12" t="s">
        <v>21</v>
      </c>
      <c r="J72" s="26">
        <v>132</v>
      </c>
    </row>
    <row r="73" spans="3:10" x14ac:dyDescent="0.25">
      <c r="I73" s="12" t="s">
        <v>19</v>
      </c>
      <c r="J73" s="26">
        <v>218</v>
      </c>
    </row>
    <row r="74" spans="3:10" x14ac:dyDescent="0.25">
      <c r="I74" s="12" t="s">
        <v>17</v>
      </c>
      <c r="J74" s="26">
        <v>242</v>
      </c>
    </row>
    <row r="75" spans="3:10" x14ac:dyDescent="0.25">
      <c r="I75" s="12" t="s">
        <v>15</v>
      </c>
      <c r="J75" s="26">
        <v>251</v>
      </c>
    </row>
    <row r="76" spans="3:10" x14ac:dyDescent="0.25">
      <c r="F76" t="s">
        <v>46</v>
      </c>
      <c r="I76" s="12" t="s">
        <v>10</v>
      </c>
      <c r="J76" s="26">
        <v>319</v>
      </c>
    </row>
    <row r="77" spans="3:10" x14ac:dyDescent="0.25">
      <c r="C77" s="11" t="s">
        <v>24</v>
      </c>
      <c r="D77" t="s">
        <v>45</v>
      </c>
      <c r="I77" s="12" t="s">
        <v>13</v>
      </c>
      <c r="J77" s="26">
        <v>445</v>
      </c>
    </row>
    <row r="78" spans="3:10" x14ac:dyDescent="0.25">
      <c r="C78" s="12" t="s">
        <v>21</v>
      </c>
      <c r="D78" s="26">
        <v>132</v>
      </c>
      <c r="F78" s="11" t="s">
        <v>24</v>
      </c>
      <c r="G78" t="s">
        <v>45</v>
      </c>
      <c r="I78" s="12" t="s">
        <v>25</v>
      </c>
      <c r="J78" s="26">
        <v>1607</v>
      </c>
    </row>
    <row r="79" spans="3:10" x14ac:dyDescent="0.25">
      <c r="C79" s="12" t="s">
        <v>15</v>
      </c>
      <c r="D79" s="26">
        <v>251</v>
      </c>
      <c r="F79" s="12" t="s">
        <v>13</v>
      </c>
      <c r="G79" s="26">
        <v>445</v>
      </c>
    </row>
    <row r="80" spans="3:10" x14ac:dyDescent="0.25">
      <c r="C80" s="12" t="s">
        <v>10</v>
      </c>
      <c r="D80" s="26">
        <v>319</v>
      </c>
      <c r="F80" s="12" t="s">
        <v>10</v>
      </c>
      <c r="G80" s="26">
        <v>319</v>
      </c>
    </row>
    <row r="81" spans="3:7" x14ac:dyDescent="0.25">
      <c r="C81" s="12" t="s">
        <v>13</v>
      </c>
      <c r="D81" s="26">
        <v>445</v>
      </c>
      <c r="F81" s="12" t="s">
        <v>15</v>
      </c>
      <c r="G81" s="26">
        <v>251</v>
      </c>
    </row>
    <row r="82" spans="3:7" x14ac:dyDescent="0.25">
      <c r="C82" s="12" t="s">
        <v>17</v>
      </c>
      <c r="D82" s="26">
        <v>242</v>
      </c>
      <c r="F82" s="12" t="s">
        <v>17</v>
      </c>
      <c r="G82" s="26">
        <v>242</v>
      </c>
    </row>
    <row r="83" spans="3:7" x14ac:dyDescent="0.25">
      <c r="C83" s="12" t="s">
        <v>19</v>
      </c>
      <c r="D83" s="26">
        <v>218</v>
      </c>
      <c r="F83" s="12" t="s">
        <v>19</v>
      </c>
      <c r="G83" s="26">
        <v>218</v>
      </c>
    </row>
    <row r="84" spans="3:7" x14ac:dyDescent="0.25">
      <c r="C84" s="12" t="s">
        <v>25</v>
      </c>
      <c r="D84" s="26">
        <v>1607</v>
      </c>
      <c r="F84" s="12" t="s">
        <v>21</v>
      </c>
      <c r="G84" s="26">
        <v>132</v>
      </c>
    </row>
    <row r="85" spans="3:7" x14ac:dyDescent="0.25">
      <c r="F85" s="12" t="s">
        <v>25</v>
      </c>
      <c r="G85" s="26">
        <v>1607</v>
      </c>
    </row>
    <row r="90" spans="3:7" x14ac:dyDescent="0.25">
      <c r="C90" s="11" t="s">
        <v>24</v>
      </c>
      <c r="D90" t="s">
        <v>45</v>
      </c>
    </row>
    <row r="91" spans="3:7" x14ac:dyDescent="0.25">
      <c r="C91" s="12" t="s">
        <v>21</v>
      </c>
      <c r="D91" s="26">
        <v>132</v>
      </c>
    </row>
    <row r="92" spans="3:7" x14ac:dyDescent="0.25">
      <c r="C92" s="12" t="s">
        <v>19</v>
      </c>
      <c r="D92" s="26">
        <v>218</v>
      </c>
    </row>
    <row r="93" spans="3:7" x14ac:dyDescent="0.25">
      <c r="C93" s="12" t="s">
        <v>17</v>
      </c>
      <c r="D93" s="26">
        <v>242</v>
      </c>
    </row>
    <row r="94" spans="3:7" x14ac:dyDescent="0.25">
      <c r="C94" s="12" t="s">
        <v>15</v>
      </c>
      <c r="D94" s="26">
        <v>251</v>
      </c>
    </row>
    <row r="95" spans="3:7" x14ac:dyDescent="0.25">
      <c r="C95" s="12" t="s">
        <v>10</v>
      </c>
      <c r="D95" s="26">
        <v>319</v>
      </c>
    </row>
    <row r="96" spans="3:7" x14ac:dyDescent="0.25">
      <c r="C96" s="12" t="s">
        <v>13</v>
      </c>
      <c r="D96" s="26">
        <v>445</v>
      </c>
    </row>
    <row r="97" spans="2:4" x14ac:dyDescent="0.25">
      <c r="C97" s="12" t="s">
        <v>25</v>
      </c>
      <c r="D97" s="26">
        <v>1607</v>
      </c>
    </row>
    <row r="100" spans="2:4" x14ac:dyDescent="0.25">
      <c r="B100" s="11" t="s">
        <v>24</v>
      </c>
      <c r="C100" t="s">
        <v>26</v>
      </c>
    </row>
    <row r="101" spans="2:4" x14ac:dyDescent="0.25">
      <c r="B101" s="12" t="s">
        <v>8</v>
      </c>
      <c r="C101" s="27">
        <v>82200</v>
      </c>
    </row>
    <row r="102" spans="2:4" x14ac:dyDescent="0.25">
      <c r="B102" s="12" t="s">
        <v>16</v>
      </c>
      <c r="C102" s="27">
        <v>45000</v>
      </c>
    </row>
    <row r="103" spans="2:4" x14ac:dyDescent="0.25">
      <c r="B103" s="12" t="s">
        <v>18</v>
      </c>
      <c r="C103" s="27">
        <v>19200</v>
      </c>
    </row>
    <row r="104" spans="2:4" x14ac:dyDescent="0.25">
      <c r="B104" s="12" t="s">
        <v>14</v>
      </c>
      <c r="C104" s="27">
        <v>33900</v>
      </c>
    </row>
    <row r="105" spans="2:4" x14ac:dyDescent="0.25">
      <c r="B105" s="12" t="s">
        <v>11</v>
      </c>
      <c r="C105" s="27">
        <v>61200</v>
      </c>
    </row>
    <row r="106" spans="2:4" x14ac:dyDescent="0.25">
      <c r="B106" s="12" t="s">
        <v>20</v>
      </c>
      <c r="C106" s="27">
        <v>110700</v>
      </c>
    </row>
    <row r="107" spans="2:4" x14ac:dyDescent="0.25">
      <c r="B107" s="12" t="s">
        <v>25</v>
      </c>
      <c r="C107" s="27">
        <v>352200</v>
      </c>
    </row>
    <row r="113" spans="3:13" x14ac:dyDescent="0.25">
      <c r="L113" s="11" t="s">
        <v>24</v>
      </c>
      <c r="M113" t="s">
        <v>45</v>
      </c>
    </row>
    <row r="114" spans="3:13" x14ac:dyDescent="0.25">
      <c r="L114" s="12" t="s">
        <v>16</v>
      </c>
      <c r="M114">
        <v>146</v>
      </c>
    </row>
    <row r="115" spans="3:13" x14ac:dyDescent="0.25">
      <c r="L115" s="12" t="s">
        <v>18</v>
      </c>
      <c r="M115">
        <v>144</v>
      </c>
    </row>
    <row r="116" spans="3:13" x14ac:dyDescent="0.25">
      <c r="L116" s="12" t="s">
        <v>14</v>
      </c>
      <c r="M116">
        <v>144</v>
      </c>
    </row>
    <row r="117" spans="3:13" x14ac:dyDescent="0.25">
      <c r="L117" s="12" t="s">
        <v>25</v>
      </c>
      <c r="M117">
        <v>434</v>
      </c>
    </row>
    <row r="118" spans="3:13" x14ac:dyDescent="0.25">
      <c r="C118" s="11" t="s">
        <v>24</v>
      </c>
      <c r="D118" t="s">
        <v>45</v>
      </c>
    </row>
    <row r="119" spans="3:13" x14ac:dyDescent="0.25">
      <c r="C119" s="12" t="s">
        <v>11</v>
      </c>
      <c r="D119" s="26">
        <v>360</v>
      </c>
    </row>
    <row r="120" spans="3:13" x14ac:dyDescent="0.25">
      <c r="C120" s="12" t="s">
        <v>8</v>
      </c>
      <c r="D120" s="26">
        <v>394</v>
      </c>
    </row>
    <row r="121" spans="3:13" x14ac:dyDescent="0.25">
      <c r="C121" s="12" t="s">
        <v>20</v>
      </c>
      <c r="D121" s="26">
        <v>419</v>
      </c>
    </row>
    <row r="122" spans="3:13" x14ac:dyDescent="0.25">
      <c r="C122" s="12" t="s">
        <v>25</v>
      </c>
      <c r="D122" s="26">
        <v>1173</v>
      </c>
    </row>
    <row r="126" spans="3:13" x14ac:dyDescent="0.25">
      <c r="F126" s="11" t="s">
        <v>24</v>
      </c>
      <c r="G126" t="s">
        <v>45</v>
      </c>
    </row>
    <row r="127" spans="3:13" x14ac:dyDescent="0.25">
      <c r="C127" s="11" t="s">
        <v>24</v>
      </c>
      <c r="D127" t="s">
        <v>26</v>
      </c>
      <c r="F127" s="12" t="s">
        <v>21</v>
      </c>
      <c r="G127" s="26">
        <v>132</v>
      </c>
    </row>
    <row r="128" spans="3:13" x14ac:dyDescent="0.25">
      <c r="C128" s="12" t="s">
        <v>21</v>
      </c>
      <c r="D128" s="27">
        <v>25320</v>
      </c>
      <c r="F128" s="12" t="s">
        <v>15</v>
      </c>
      <c r="G128" s="26">
        <v>251</v>
      </c>
    </row>
    <row r="129" spans="3:7" x14ac:dyDescent="0.25">
      <c r="C129" s="12" t="s">
        <v>15</v>
      </c>
      <c r="D129" s="27">
        <v>339000</v>
      </c>
      <c r="F129" s="12" t="s">
        <v>10</v>
      </c>
      <c r="G129" s="26">
        <v>319</v>
      </c>
    </row>
    <row r="130" spans="3:7" x14ac:dyDescent="0.25">
      <c r="C130" s="12" t="s">
        <v>10</v>
      </c>
      <c r="D130" s="27">
        <v>66150</v>
      </c>
      <c r="F130" s="12" t="s">
        <v>13</v>
      </c>
      <c r="G130" s="26">
        <v>445</v>
      </c>
    </row>
    <row r="131" spans="3:7" x14ac:dyDescent="0.25">
      <c r="C131" s="12" t="s">
        <v>13</v>
      </c>
      <c r="D131" s="27">
        <v>934500</v>
      </c>
      <c r="F131" s="12" t="s">
        <v>17</v>
      </c>
      <c r="G131" s="26">
        <v>242</v>
      </c>
    </row>
    <row r="132" spans="3:7" x14ac:dyDescent="0.25">
      <c r="C132" s="12" t="s">
        <v>17</v>
      </c>
      <c r="D132" s="27">
        <v>352200</v>
      </c>
      <c r="F132" s="12" t="s">
        <v>19</v>
      </c>
      <c r="G132" s="26">
        <v>218</v>
      </c>
    </row>
    <row r="133" spans="3:7" x14ac:dyDescent="0.25">
      <c r="C133" s="12" t="s">
        <v>19</v>
      </c>
      <c r="D133" s="27">
        <v>65400</v>
      </c>
      <c r="F133" s="12" t="s">
        <v>25</v>
      </c>
      <c r="G133" s="27">
        <v>1607</v>
      </c>
    </row>
    <row r="134" spans="3:7" x14ac:dyDescent="0.25">
      <c r="C134" s="12" t="s">
        <v>25</v>
      </c>
      <c r="D134" s="27">
        <v>1782570</v>
      </c>
    </row>
    <row r="140" spans="3:7" x14ac:dyDescent="0.25">
      <c r="E140" t="s">
        <v>48</v>
      </c>
    </row>
    <row r="142" spans="3:7" x14ac:dyDescent="0.25">
      <c r="E142" s="11" t="s">
        <v>24</v>
      </c>
      <c r="F142" t="s">
        <v>45</v>
      </c>
    </row>
    <row r="143" spans="3:7" x14ac:dyDescent="0.25">
      <c r="E143" s="12" t="s">
        <v>15</v>
      </c>
      <c r="F143" s="27">
        <v>251</v>
      </c>
    </row>
    <row r="144" spans="3:7" x14ac:dyDescent="0.25">
      <c r="E144" s="12" t="s">
        <v>10</v>
      </c>
      <c r="F144" s="27">
        <v>319</v>
      </c>
    </row>
    <row r="145" spans="5:7" x14ac:dyDescent="0.25">
      <c r="E145" s="12" t="s">
        <v>13</v>
      </c>
      <c r="F145" s="27">
        <v>445</v>
      </c>
    </row>
    <row r="146" spans="5:7" x14ac:dyDescent="0.25">
      <c r="E146" s="12" t="s">
        <v>25</v>
      </c>
      <c r="F146" s="27">
        <v>1015</v>
      </c>
    </row>
    <row r="153" spans="5:7" x14ac:dyDescent="0.25">
      <c r="E153" t="s">
        <v>49</v>
      </c>
    </row>
    <row r="155" spans="5:7" x14ac:dyDescent="0.25">
      <c r="E155" s="11" t="s">
        <v>24</v>
      </c>
      <c r="F155" t="s">
        <v>45</v>
      </c>
      <c r="G155" s="11"/>
    </row>
    <row r="156" spans="5:7" x14ac:dyDescent="0.25">
      <c r="E156" s="12" t="s">
        <v>17</v>
      </c>
      <c r="F156" s="27">
        <v>242</v>
      </c>
    </row>
    <row r="157" spans="5:7" x14ac:dyDescent="0.25">
      <c r="E157" s="12" t="s">
        <v>19</v>
      </c>
      <c r="F157" s="27">
        <v>218</v>
      </c>
    </row>
    <row r="158" spans="5:7" x14ac:dyDescent="0.25">
      <c r="E158" s="12" t="s">
        <v>21</v>
      </c>
      <c r="F158" s="27">
        <v>132</v>
      </c>
    </row>
    <row r="159" spans="5:7" x14ac:dyDescent="0.25">
      <c r="E159" s="12" t="s">
        <v>25</v>
      </c>
      <c r="F159" s="27">
        <v>592</v>
      </c>
    </row>
  </sheetData>
  <pageMargins left="0.7" right="0.7" top="0.75" bottom="0.75" header="0.3" footer="0.3"/>
  <drawing r:id="rId21"/>
  <extLst>
    <ext xmlns:x14="http://schemas.microsoft.com/office/spreadsheetml/2009/9/main" uri="{A8765BA9-456A-4dab-B4F3-ACF838C121DE}">
      <x14:slicerList>
        <x14:slicer r:id="rId22"/>
      </x14:slicerList>
    </ext>
    <ext xmlns:x15="http://schemas.microsoft.com/office/spreadsheetml/2010/11/main" uri="{7E03D99C-DC04-49d9-9315-930204A7B6E9}">
      <x15:timelineRefs>
        <x15:timelineRef r:id="rId2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1:M28"/>
  <sheetViews>
    <sheetView zoomScaleNormal="100" workbookViewId="0"/>
  </sheetViews>
  <sheetFormatPr defaultRowHeight="15" x14ac:dyDescent="0.25"/>
  <sheetData>
    <row r="11" ht="5.45" customHeight="1" x14ac:dyDescent="0.25"/>
    <row r="12" hidden="1" x14ac:dyDescent="0.25"/>
    <row r="13" hidden="1" x14ac:dyDescent="0.25"/>
    <row r="14" hidden="1" x14ac:dyDescent="0.25"/>
    <row r="28" spans="13:13" ht="24.75" x14ac:dyDescent="0.25">
      <c r="M28"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1:M28"/>
  <sheetViews>
    <sheetView zoomScaleNormal="100" workbookViewId="0"/>
  </sheetViews>
  <sheetFormatPr defaultRowHeight="15" x14ac:dyDescent="0.25"/>
  <sheetData>
    <row r="11" ht="5.45" customHeight="1" x14ac:dyDescent="0.25"/>
    <row r="12" hidden="1" x14ac:dyDescent="0.25"/>
    <row r="13" hidden="1" x14ac:dyDescent="0.25"/>
    <row r="14" hidden="1" x14ac:dyDescent="0.25"/>
    <row r="28" spans="13:13" ht="24.75" x14ac:dyDescent="0.25">
      <c r="M28"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1:M28"/>
  <sheetViews>
    <sheetView tabSelected="1" zoomScaleNormal="100" workbookViewId="0"/>
  </sheetViews>
  <sheetFormatPr defaultRowHeight="15" x14ac:dyDescent="0.25"/>
  <sheetData>
    <row r="11" ht="5.45" customHeight="1" x14ac:dyDescent="0.25"/>
    <row r="12" hidden="1" x14ac:dyDescent="0.25"/>
    <row r="13" hidden="1" x14ac:dyDescent="0.25"/>
    <row r="14" hidden="1" x14ac:dyDescent="0.25"/>
    <row r="28" spans="13:13" ht="24.75" x14ac:dyDescent="0.25">
      <c r="M28"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1:M28"/>
  <sheetViews>
    <sheetView zoomScaleNormal="100" workbookViewId="0"/>
  </sheetViews>
  <sheetFormatPr defaultRowHeight="15" x14ac:dyDescent="0.25"/>
  <sheetData>
    <row r="11" ht="5.45" customHeight="1" x14ac:dyDescent="0.25"/>
    <row r="12" hidden="1" x14ac:dyDescent="0.25"/>
    <row r="13" hidden="1" x14ac:dyDescent="0.25"/>
    <row r="14" hidden="1" x14ac:dyDescent="0.25"/>
    <row r="28" spans="13:13" ht="24.75" x14ac:dyDescent="0.25">
      <c r="M28"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75" zoomScaleNormal="75"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new-prod</vt:lpstr>
      <vt:lpstr>new-pivot</vt:lpstr>
      <vt:lpstr>Data</vt:lpstr>
      <vt:lpstr>Pivot Table</vt:lpstr>
      <vt:lpstr>Dashboard</vt:lpstr>
      <vt:lpstr>Product</vt:lpstr>
      <vt:lpstr>Salesman</vt:lpstr>
      <vt:lpstr>About Us</vt:lpstr>
      <vt:lpstr>new-dash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Kabir Singh Karla</dc:creator>
  <cp:lastModifiedBy>Ayush</cp:lastModifiedBy>
  <dcterms:created xsi:type="dcterms:W3CDTF">2023-03-16T06:14:11Z</dcterms:created>
  <dcterms:modified xsi:type="dcterms:W3CDTF">2025-10-19T19:19:46Z</dcterms:modified>
</cp:coreProperties>
</file>